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457" windowHeight="14537" tabRatio="500" activeTab="1"/>
  </bookViews>
  <sheets>
    <sheet name="Modal Pengelola" sheetId="1" r:id="rId1"/>
    <sheet name="Investasi Investor" sheetId="2" r:id="rId2"/>
    <sheet name="Ringkasan Modal"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<sst xmlns="http://schemas.openxmlformats.org/spreadsheetml/2006/main" count="172" uniqueCount="133">
  <si>
    <t>INVENTARIS PERALATAN PENGELOLA — GGAC</t>
  </si>
  <si>
    <t>Pihak II — Pengelola  |  Metode: Depresiasi Garis Lurus  |  Tahun Hitung: 2026</t>
  </si>
  <si>
    <t xml:space="preserve">  ASUMSI UMUR EKONOMIS  (⚡ Ubah sel biru untuk update otomatis)</t>
  </si>
  <si>
    <t>No</t>
  </si>
  <si>
    <t>Kategori Alat</t>
  </si>
  <si>
    <t>Umur Ekonomis (thn)</t>
  </si>
  <si>
    <t>Keterangan</t>
  </si>
  <si>
    <t>Mesin / alat berat (cable, squat machine)</t>
  </si>
  <si>
    <t>Treadmill, squat rack, cable machine</t>
  </si>
  <si>
    <t>Matras &amp; aksesori lunak</t>
  </si>
  <si>
    <t>Matras, gym ball, stepper</t>
  </si>
  <si>
    <t>Dumbbell / besi (tidak menyusut cepat)</t>
  </si>
  <si>
    <t>Dumbbell, barbell, kettlebell</t>
  </si>
  <si>
    <t>Elektronik &amp; alat ukur</t>
  </si>
  <si>
    <t>Timbangan InBody, dsb.</t>
  </si>
  <si>
    <t>Aksesori umum (band, blok, TRX)</t>
  </si>
  <si>
    <t>Resistance band, yoga block, TRX</t>
  </si>
  <si>
    <t xml:space="preserve">  DAFTAR PERALATAN &amp; PERHITUNGAN NILAI BUKU</t>
  </si>
  <si>
    <t>No.</t>
  </si>
  <si>
    <t>Nama Peralatan</t>
  </si>
  <si>
    <t>Harga Beli (Rp)</t>
  </si>
  <si>
    <t>Thn Beli</t>
  </si>
  <si>
    <t>Usia (per 2026)</t>
  </si>
  <si>
    <t>Umur Ekonomis</t>
  </si>
  <si>
    <t>Nilai Buku (Rp)</t>
  </si>
  <si>
    <t>Kategori / Keterangan</t>
  </si>
  <si>
    <t>Squat Track</t>
  </si>
  <si>
    <t>Mesin  Kode kategori: mesin</t>
  </si>
  <si>
    <t>Dumbbell Set + Barbell</t>
  </si>
  <si>
    <t>Besi</t>
  </si>
  <si>
    <t>Barbell 12kg</t>
  </si>
  <si>
    <t>TRX Decathlon</t>
  </si>
  <si>
    <t>Aksesori</t>
  </si>
  <si>
    <t>Matras Manduka Pro</t>
  </si>
  <si>
    <t>Matras</t>
  </si>
  <si>
    <t>Stepper</t>
  </si>
  <si>
    <t>Kettle Bell</t>
  </si>
  <si>
    <t>Gym Ball Besar</t>
  </si>
  <si>
    <t>Treadmill</t>
  </si>
  <si>
    <t>Mesin</t>
  </si>
  <si>
    <t>Pulley Set</t>
  </si>
  <si>
    <t>Timbangan InBody</t>
  </si>
  <si>
    <t>Elektronik  Alat ukur komposisi tubuh</t>
  </si>
  <si>
    <t>Gym Ball Happyfit</t>
  </si>
  <si>
    <t>Resistance Band</t>
  </si>
  <si>
    <t>Yoga Block 2pcs</t>
  </si>
  <si>
    <t>Dumbbells</t>
  </si>
  <si>
    <t>Squat Machine</t>
  </si>
  <si>
    <t>Mesin  Fully depreciated 2027</t>
  </si>
  <si>
    <t>Accessories</t>
  </si>
  <si>
    <t xml:space="preserve">Aksesori </t>
  </si>
  <si>
    <t>All in One Trainer Echo - Strengthbae</t>
  </si>
  <si>
    <t>TOTAL</t>
  </si>
  <si>
    <t>⚡  Cara pakai: Ubah Harga Beli (col C, biru) atau Tahun Beli (col D, biru). Nilai Buku (col G) terupdate otomatis. Ubah Umur Ekonomis di tabel asumsi (sel kuning, baris 6–10) untuk update semua baris sekaligus.</t>
  </si>
  <si>
    <t xml:space="preserve">  LEGENDA WARNA</t>
  </si>
  <si>
    <t>■  Biru</t>
  </si>
  <si>
    <t>Input / data yang dapat diubah user</t>
  </si>
  <si>
    <t>■  Hitam</t>
  </si>
  <si>
    <t>Formula otomatis — jangan diubah manual</t>
  </si>
  <si>
    <t>■  Hijau</t>
  </si>
  <si>
    <t>Link ke sheet lain — otomatis terupdate</t>
  </si>
  <si>
    <t>■  Kuning bg</t>
  </si>
  <si>
    <t>Asumsi kunci — perlu perhatian</t>
  </si>
  <si>
    <t>RENCANA INVESTASI INVESTOR — GGAC</t>
  </si>
  <si>
    <t>Pihak I — Owner / Investor  |  Rencana Pengadaan Peralatan &amp; Fasilitas</t>
  </si>
  <si>
    <t xml:space="preserve">  PERALATAN GYM</t>
  </si>
  <si>
    <t>Qty</t>
  </si>
  <si>
    <t>Harga Satuan (Rp)</t>
  </si>
  <si>
    <t>Total (Rp)</t>
  </si>
  <si>
    <t>Catatan</t>
  </si>
  <si>
    <t>Bench</t>
  </si>
  <si>
    <t>Melengkapi cable machine</t>
  </si>
  <si>
    <t>Stall Bar / Wall Bar</t>
  </si>
  <si>
    <t>Keseimbangan &amp; kelas grup</t>
  </si>
  <si>
    <t>Rubber Floor (50x50cm , 1cm)</t>
  </si>
  <si>
    <t>Area mesin &amp; TRX (per m²)</t>
  </si>
  <si>
    <t>Rubber Floor (1x1m , 2cm)</t>
  </si>
  <si>
    <t>Latihan kekuatan</t>
  </si>
  <si>
    <t>Dumbell 3-tier Rack</t>
  </si>
  <si>
    <t>Dumbells 1-5kg (@ 2pasang)</t>
  </si>
  <si>
    <t>Investasi jangka panjang</t>
  </si>
  <si>
    <t>Yoga Mat SFIDN FITS</t>
  </si>
  <si>
    <t>Floor excercise</t>
  </si>
  <si>
    <t>Subtotal Peralatan Gym</t>
  </si>
  <si>
    <t xml:space="preserve">  FASILITAS PENUNJANG</t>
  </si>
  <si>
    <t>Item Fasilitas</t>
  </si>
  <si>
    <t>Est. Biaya Satuan (Rp)</t>
  </si>
  <si>
    <t>Akses Internet</t>
  </si>
  <si>
    <t>Operasional administrasi</t>
  </si>
  <si>
    <t>Tirai penutup kaca</t>
  </si>
  <si>
    <t>Mengurangi panas matahari</t>
  </si>
  <si>
    <t>Lemari penyimpanan</t>
  </si>
  <si>
    <t>Penyimpanan peralatan gym</t>
  </si>
  <si>
    <t>Locker klien</t>
  </si>
  <si>
    <t>Penyimpanan barang klien</t>
  </si>
  <si>
    <t>Cermin</t>
  </si>
  <si>
    <t>Koreksi postur klien</t>
  </si>
  <si>
    <t>Sofa / tempat duduk</t>
  </si>
  <si>
    <t>Kenyamanan pengantar</t>
  </si>
  <si>
    <t>Shower pria</t>
  </si>
  <si>
    <t>Fasilitas mandi</t>
  </si>
  <si>
    <t>Shower wanita</t>
  </si>
  <si>
    <t>Subtotal Fasilitas Penunjang</t>
  </si>
  <si>
    <t>Buffer biaya tak terduga</t>
  </si>
  <si>
    <t>← ubah %</t>
  </si>
  <si>
    <t>TOTAL INVESTASI AWAL INVESTOR (termasuk buffer)</t>
  </si>
  <si>
    <t>Cara pakai: Ubah Qty (col C, biru) atau harga satuan (col D, biru). Total otomatis terupdate. Besar Buffer di sel kuning dapat diubah sesuai kebutuhan.</t>
  </si>
  <si>
    <t>RINGKASAN MODAL AWAL — GGAC</t>
  </si>
  <si>
    <t>Perbandingan kontribusi modal Pihak I (Owner) dan Pihak II (Pengelola)</t>
  </si>
  <si>
    <t>Komponen Modal</t>
  </si>
  <si>
    <t>Pihak I — Owner (Rp)</t>
  </si>
  <si>
    <t>Pihak II — Pengelola (Rp)</t>
  </si>
  <si>
    <t>% dari Total Modal</t>
  </si>
  <si>
    <t>Peralatan gym baru</t>
  </si>
  <si>
    <t>Sesuai daftar Sheet 2</t>
  </si>
  <si>
    <t>Fasilitas penunjang (estimasi)</t>
  </si>
  <si>
    <t>Estimasi, belum final</t>
  </si>
  <si>
    <t>Peralatan existing pengelola (nilai buku)</t>
  </si>
  <si>
    <t>Nilai buku per 2026 dari 17 item</t>
  </si>
  <si>
    <t>Akses lokasi tanpa sewa</t>
  </si>
  <si>
    <t>Non-kas</t>
  </si>
  <si>
    <t>Kontribusi in-kind Pihak I — belum dinilai</t>
  </si>
  <si>
    <t>Konsep &amp; kurikulum &amp; klien existing</t>
  </si>
  <si>
    <t>Kontribusi in-kind Pihak II — belum dinilai</t>
  </si>
  <si>
    <t>TOTAL MODAL KAS</t>
  </si>
  <si>
    <t xml:space="preserve">  SKEMA BAGI HASIL (dapat diubah)</t>
  </si>
  <si>
    <t>Parameter</t>
  </si>
  <si>
    <t>Pihak I — Owner</t>
  </si>
  <si>
    <t>Pihak II — Pengelola</t>
  </si>
  <si>
    <t>Selisih Porsi vs Modal</t>
  </si>
  <si>
    <t>Porsi bagi hasil laba bersih</t>
  </si>
  <si>
    <t>Negatif = owner dapat bagi hasil &lt; porsi modal</t>
  </si>
  <si>
    <t>📌  ANALISIS:
• Sel kuning (baris bagi hasil) dapat diubah untuk simulasi negosiasi.
• Kolom D (Selisih Porsi vs Modal): jika negatif, owner mendapat bagi hasil lebih kecil dari porsi modalnya.
• Kontribusi non-kas pengelola (keahlian, klien, kurikulum) belum dinilai — disarankan mencantumkan valuasi dalam term sheet agar posisi kedua pihak seimbang secara legal.
• Semua sel hijau = linked dari Sheet lain, berubah otomatis jika data di sheet asal diubah.</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</si>
</sst>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176" formatCode="_(&quot;Rp&quot;* #,##0_);_(&quot;Rp&quot;* \(#,##0\);_(&quot;Rp&quot;* &quot;-&quot;_);_(@_)"/>
    <numFmt numFmtId="177" formatCode="_(&quot;Rp&quot;* #,##0.00_);_(&quot;Rp&quot;* \(#,##0.00\);_(&quot;Rp&quot;* &quot;-&quot;??_);_(@_)"/>
    <numFmt numFmtId="178" formatCode="_(* #,##0_);_(* \(#,##0\);_(* &quot;-&quot;_);_(@_)"/>
    <numFmt numFmtId="179" formatCode="_(* #,##0.00_);_(* \(#,##0.00\);_(* &quot;-&quot;??_);_(@_)"/>
    <numFmt numFmtId="180" formatCode="#,##0;\(#,##0\);\-"/>
    <numFmt numFmtId="181" formatCode="0.0%;\-;\-"/>
    <numFmt numFmtId="182" formatCode="0.0%"/>
    <numFmt numFmtId="183" formatCode="0.0%;\(0.0%\);\-"/>
    <numFmt numFmtId="184" formatCode="0&quot; tahun&quot;"/>
    <numFmt numFmtId="185" formatCode="0&quot; thn&quot;"/>
  </numFmts>
  <fonts count="45">
    <font>
      <sz val="11"/>
      <color theme="1"/>
      <name val="Calibri"/>
      <charset val="1"/>
    </font>
    <font>
      <b/>
      <sz val="16"/>
      <color rgb="FFFFFFFF"/>
      <name val="Arial"/>
      <charset val="1"/>
    </font>
    <font>
      <i/>
      <sz val="10"/>
      <color rgb="FF888780"/>
      <name val="Arial"/>
      <charset val="1"/>
    </font>
    <font>
      <b/>
      <sz val="11"/>
      <color rgb="FFFFFFFF"/>
      <name val="Arial"/>
      <charset val="1"/>
    </font>
    <font>
      <sz val="11"/>
      <color rgb="FF000000"/>
      <name val="Arial"/>
      <charset val="1"/>
    </font>
    <font>
      <sz val="11"/>
      <color rgb="FF006400"/>
      <name val="Arial"/>
      <charset val="1"/>
    </font>
    <font>
      <i/>
      <sz val="11"/>
      <color rgb="FF888780"/>
      <name val="Arial"/>
      <charset val="1"/>
    </font>
    <font>
      <b/>
      <sz val="12"/>
      <color rgb="FFFFFFFF"/>
      <name val="Arial"/>
      <charset val="1"/>
    </font>
    <font>
      <b/>
      <sz val="10"/>
      <color rgb="FFFFFFFF"/>
      <name val="Arial"/>
      <charset val="1"/>
    </font>
    <font>
      <b/>
      <sz val="12"/>
      <color rgb="FF0000FF"/>
      <name val="Arial"/>
      <charset val="1"/>
    </font>
    <font>
      <b/>
      <sz val="12"/>
      <color rgb="FF000000"/>
      <name val="Arial"/>
      <charset val="1"/>
    </font>
    <font>
      <i/>
      <sz val="9"/>
      <color rgb="FF888780"/>
      <name val="Arial"/>
      <charset val="1"/>
    </font>
    <font>
      <sz val="10"/>
      <color rgb="FF444441"/>
      <name val="Arial"/>
      <charset val="1"/>
    </font>
    <font>
      <b/>
      <sz val="10"/>
      <color rgb="FF0000FF"/>
      <name val="Arial"/>
      <charset val="1"/>
    </font>
    <font>
      <sz val="10"/>
      <color rgb="FF000000"/>
      <name val="Arial"/>
      <charset val="1"/>
    </font>
    <font>
      <b/>
      <sz val="10"/>
      <color rgb="FF000000"/>
      <name val="Arial"/>
      <charset val="1"/>
    </font>
    <font>
      <b/>
      <sz val="10"/>
      <color rgb="FF006400"/>
      <name val="Arial"/>
      <charset val="1"/>
    </font>
    <font>
      <b/>
      <sz val="10"/>
      <color rgb="FF854F0B"/>
      <name val="Arial"/>
      <charset val="1"/>
    </font>
    <font>
      <b/>
      <sz val="14"/>
      <color rgb="FFFFFFFF"/>
      <name val="Arial"/>
      <charset val="1"/>
    </font>
    <font>
      <sz val="10"/>
      <color rgb="FF0000FF"/>
      <name val="Arial"/>
      <charset val="1"/>
    </font>
    <font>
      <b/>
      <sz val="13"/>
      <color rgb="FFFFFFFF"/>
      <name val="Arial"/>
      <charset val="1"/>
    </font>
    <font>
      <i/>
      <sz val="9"/>
      <color rgb="FF854F0B"/>
      <name val="Arial"/>
      <charset val="1"/>
    </font>
    <font>
      <b/>
      <sz val="11"/>
      <color rgb="FF0000FF"/>
      <name val="Arial"/>
      <charset val="1"/>
    </font>
    <font>
      <sz val="10"/>
      <color rgb="FF006400"/>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1A3A2A"/>
        <bgColor rgb="FF003300"/>
      </patternFill>
    </fill>
    <fill>
      <patternFill patternType="solid">
        <fgColor rgb="FF0F6E56"/>
        <bgColor rgb="FF008080"/>
      </patternFill>
    </fill>
    <fill>
      <patternFill patternType="solid">
        <fgColor rgb="FFFFFF00"/>
        <bgColor rgb="FFFFFF00"/>
      </patternFill>
    </fill>
    <fill>
      <patternFill patternType="solid">
        <fgColor rgb="FFF0FAF5"/>
        <bgColor rgb="FFF5FAF7"/>
      </patternFill>
    </fill>
    <fill>
      <patternFill patternType="solid">
        <fgColor rgb="FF0D3B6E"/>
        <bgColor rgb="FF1A3A2A"/>
      </patternFill>
    </fill>
    <fill>
      <patternFill patternType="solid">
        <fgColor rgb="FF185FA5"/>
        <bgColor rgb="FF0F6E56"/>
      </patternFill>
    </fill>
    <fill>
      <patternFill patternType="solid">
        <fgColor rgb="FF5A3E28"/>
        <bgColor rgb="FF444441"/>
      </patternFill>
    </fill>
    <fill>
      <patternFill patternType="solid">
        <fgColor rgb="FF854F0B"/>
        <bgColor rgb="FF5A3E28"/>
      </patternFill>
    </fill>
    <fill>
      <patternFill patternType="solid">
        <fgColor rgb="FFFDF3E3"/>
        <bgColor rgb="FFF7F6F2"/>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3D1C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4" fillId="0" borderId="0" applyBorder="0" applyAlignment="0" applyProtection="0"/>
    <xf numFmtId="177" fontId="24" fillId="0" borderId="0" applyBorder="0" applyAlignment="0" applyProtection="0"/>
    <xf numFmtId="9" fontId="24" fillId="0" borderId="0" applyBorder="0" applyAlignment="0" applyProtection="0"/>
    <xf numFmtId="178" fontId="24" fillId="0" borderId="0" applyBorder="0" applyAlignment="0" applyProtection="0"/>
    <xf numFmtId="179" fontId="24" fillId="0" borderId="0" applyBorder="0" applyAlignment="0" applyProtection="0"/>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11" borderId="2"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3" applyNumberFormat="0" applyFill="0" applyAlignment="0" applyProtection="0">
      <alignment vertical="center"/>
    </xf>
    <xf numFmtId="0" fontId="32" fillId="0" borderId="3" applyNumberFormat="0" applyFill="0" applyAlignment="0" applyProtection="0">
      <alignment vertical="center"/>
    </xf>
    <xf numFmtId="0" fontId="33" fillId="0" borderId="4" applyNumberFormat="0" applyFill="0" applyAlignment="0" applyProtection="0">
      <alignment vertical="center"/>
    </xf>
    <xf numFmtId="0" fontId="33" fillId="0" borderId="0" applyNumberFormat="0" applyFill="0" applyBorder="0" applyAlignment="0" applyProtection="0">
      <alignment vertical="center"/>
    </xf>
    <xf numFmtId="0" fontId="34" fillId="12" borderId="5" applyNumberFormat="0" applyAlignment="0" applyProtection="0">
      <alignment vertical="center"/>
    </xf>
    <xf numFmtId="0" fontId="35" fillId="13" borderId="6" applyNumberFormat="0" applyAlignment="0" applyProtection="0">
      <alignment vertical="center"/>
    </xf>
    <xf numFmtId="0" fontId="36" fillId="13" borderId="5" applyNumberFormat="0" applyAlignment="0" applyProtection="0">
      <alignment vertical="center"/>
    </xf>
    <xf numFmtId="0" fontId="37" fillId="14" borderId="7" applyNumberFormat="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15" borderId="0" applyNumberFormat="0" applyBorder="0" applyAlignment="0" applyProtection="0">
      <alignment vertical="center"/>
    </xf>
    <xf numFmtId="0" fontId="41" fillId="16" borderId="0" applyNumberFormat="0" applyBorder="0" applyAlignment="0" applyProtection="0">
      <alignment vertical="center"/>
    </xf>
    <xf numFmtId="0" fontId="42" fillId="17" borderId="0" applyNumberFormat="0" applyBorder="0" applyAlignment="0" applyProtection="0">
      <alignment vertical="center"/>
    </xf>
    <xf numFmtId="0" fontId="43"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3" fillId="37" borderId="0" applyNumberFormat="0" applyBorder="0" applyAlignment="0" applyProtection="0">
      <alignment vertical="center"/>
    </xf>
    <xf numFmtId="0" fontId="43" fillId="38"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0" fontId="43" fillId="41" borderId="0" applyNumberFormat="0" applyBorder="0" applyAlignment="0" applyProtection="0">
      <alignment vertical="center"/>
    </xf>
  </cellStyleXfs>
  <cellXfs count="69">
    <xf numFmtId="0" fontId="0" fillId="0" borderId="0" xfId="0"/>
    <xf numFmtId="0" fontId="1" fillId="2" borderId="0" xfId="0" applyFont="1" applyFill="1" applyBorder="1" applyAlignment="1">
      <alignment horizontal="center" vertical="center"/>
    </xf>
    <xf numFmtId="0" fontId="2" fillId="0" borderId="0" xfId="0" applyFont="1" applyBorder="1" applyAlignment="1">
      <alignment horizontal="center" vertical="center"/>
    </xf>
    <xf numFmtId="0" fontId="3" fillId="2" borderId="0" xfId="0" applyFont="1" applyFill="1" applyAlignment="1">
      <alignment horizontal="center" vertical="center"/>
    </xf>
    <xf numFmtId="0" fontId="4" fillId="0" borderId="1" xfId="0" applyFont="1" applyFill="1" applyBorder="1"/>
    <xf numFmtId="3" fontId="5" fillId="0" borderId="1" xfId="0" applyNumberFormat="1" applyFont="1" applyFill="1" applyBorder="1" applyAlignment="1">
      <alignment horizontal="right" vertical="center"/>
    </xf>
    <xf numFmtId="180" fontId="4" fillId="0" borderId="1" xfId="0" applyNumberFormat="1" applyFont="1" applyFill="1" applyBorder="1"/>
    <xf numFmtId="181" fontId="4" fillId="0" borderId="1" xfId="0" applyNumberFormat="1" applyFont="1" applyFill="1" applyBorder="1" applyAlignment="1">
      <alignment horizontal="center" vertical="center"/>
    </xf>
    <xf numFmtId="0" fontId="2" fillId="0" borderId="1" xfId="0" applyFont="1" applyFill="1" applyBorder="1"/>
    <xf numFmtId="0" fontId="6" fillId="0" borderId="1" xfId="0" applyFont="1" applyFill="1" applyBorder="1" applyAlignment="1">
      <alignment horizontal="center" vertical="center"/>
    </xf>
    <xf numFmtId="0" fontId="7" fillId="2" borderId="0" xfId="0" applyFont="1" applyFill="1"/>
    <xf numFmtId="3" fontId="7" fillId="2" borderId="0" xfId="0" applyNumberFormat="1" applyFont="1" applyFill="1" applyAlignment="1">
      <alignment horizontal="right" vertical="center"/>
    </xf>
    <xf numFmtId="182" fontId="7" fillId="2" borderId="0" xfId="0" applyNumberFormat="1" applyFont="1" applyFill="1" applyAlignment="1">
      <alignment horizontal="center" vertical="center"/>
    </xf>
    <xf numFmtId="0" fontId="0" fillId="2" borderId="0" xfId="0" applyFill="1"/>
    <xf numFmtId="0" fontId="3" fillId="3" borderId="0" xfId="0" applyFont="1" applyFill="1" applyBorder="1" applyAlignment="1">
      <alignment horizontal="left" vertical="center"/>
    </xf>
    <xf numFmtId="0" fontId="8" fillId="3" borderId="0" xfId="0" applyFont="1" applyFill="1" applyAlignment="1">
      <alignment horizontal="center" vertical="center"/>
    </xf>
    <xf numFmtId="0" fontId="4" fillId="0" borderId="0" xfId="0" applyFont="1"/>
    <xf numFmtId="9" fontId="9" fillId="4" borderId="0" xfId="0" applyNumberFormat="1" applyFont="1" applyFill="1" applyAlignment="1">
      <alignment horizontal="center" vertical="center"/>
    </xf>
    <xf numFmtId="9" fontId="10" fillId="0" borderId="0" xfId="0" applyNumberFormat="1" applyFont="1" applyAlignment="1">
      <alignment horizontal="center" vertical="center"/>
    </xf>
    <xf numFmtId="183" fontId="4" fillId="0" borderId="0" xfId="0" applyNumberFormat="1" applyFont="1" applyAlignment="1">
      <alignment horizontal="center" vertical="center"/>
    </xf>
    <xf numFmtId="0" fontId="11" fillId="0" borderId="0" xfId="0" applyFont="1"/>
    <xf numFmtId="0" fontId="12" fillId="5" borderId="0" xfId="0" applyFont="1" applyFill="1" applyBorder="1" applyAlignment="1">
      <alignment horizontal="left" vertical="center" wrapText="1"/>
    </xf>
    <xf numFmtId="0" fontId="3" fillId="2" borderId="0" xfId="0" applyFont="1" applyFill="1" applyBorder="1" applyAlignment="1">
      <alignment horizontal="left" vertical="center"/>
    </xf>
    <xf numFmtId="0" fontId="13" fillId="0" borderId="1" xfId="0" applyFont="1" applyBorder="1"/>
    <xf numFmtId="0" fontId="14" fillId="0" borderId="1" xfId="0" applyFont="1" applyBorder="1"/>
    <xf numFmtId="0" fontId="0" fillId="0" borderId="1" xfId="0" applyBorder="1"/>
    <xf numFmtId="0" fontId="15" fillId="0" borderId="1" xfId="0" applyFont="1" applyBorder="1"/>
    <xf numFmtId="0" fontId="16" fillId="0" borderId="1" xfId="0" applyFont="1" applyBorder="1"/>
    <xf numFmtId="0" fontId="17" fillId="4" borderId="1" xfId="0" applyFont="1" applyFill="1" applyBorder="1"/>
    <xf numFmtId="0" fontId="14" fillId="4" borderId="1" xfId="0" applyFont="1" applyFill="1" applyBorder="1"/>
    <xf numFmtId="0" fontId="18" fillId="6" borderId="0" xfId="0" applyFont="1" applyFill="1" applyBorder="1" applyAlignment="1">
      <alignment horizontal="center" vertical="center"/>
    </xf>
    <xf numFmtId="0" fontId="3" fillId="6" borderId="0" xfId="0" applyFont="1" applyFill="1" applyBorder="1" applyAlignment="1">
      <alignment horizontal="left" vertical="center"/>
    </xf>
    <xf numFmtId="0" fontId="8" fillId="7" borderId="0" xfId="0" applyFont="1" applyFill="1" applyAlignment="1">
      <alignment horizontal="center" vertical="center"/>
    </xf>
    <xf numFmtId="0" fontId="0" fillId="0" borderId="1" xfId="0" applyFill="1" applyBorder="1" applyAlignment="1">
      <alignment horizontal="center"/>
    </xf>
    <xf numFmtId="0" fontId="19" fillId="0" borderId="1" xfId="0" applyFont="1" applyFill="1" applyBorder="1" applyAlignment="1"/>
    <xf numFmtId="0" fontId="19" fillId="0" borderId="1" xfId="0" applyFont="1" applyFill="1" applyBorder="1" applyAlignment="1">
      <alignment horizontal="center"/>
    </xf>
    <xf numFmtId="3" fontId="19" fillId="0" borderId="1" xfId="0" applyNumberFormat="1" applyFont="1" applyFill="1" applyBorder="1" applyAlignment="1">
      <alignment horizontal="right"/>
    </xf>
    <xf numFmtId="3" fontId="14" fillId="0" borderId="1" xfId="0" applyNumberFormat="1" applyFont="1" applyFill="1" applyBorder="1" applyAlignment="1">
      <alignment horizontal="right"/>
    </xf>
    <xf numFmtId="0" fontId="11" fillId="0" borderId="1" xfId="0" applyFont="1" applyFill="1" applyBorder="1" applyAlignment="1"/>
    <xf numFmtId="0" fontId="8" fillId="7" borderId="0" xfId="0" applyFont="1" applyFill="1" applyBorder="1" applyAlignment="1">
      <alignment horizontal="left" vertical="center"/>
    </xf>
    <xf numFmtId="3" fontId="8" fillId="7" borderId="0" xfId="0" applyNumberFormat="1" applyFont="1" applyFill="1" applyAlignment="1">
      <alignment horizontal="right" vertical="center"/>
    </xf>
    <xf numFmtId="0" fontId="0" fillId="7" borderId="0" xfId="0" applyFill="1"/>
    <xf numFmtId="0" fontId="3" fillId="8" borderId="0" xfId="0" applyFont="1" applyFill="1" applyBorder="1" applyAlignment="1">
      <alignment horizontal="left" vertical="center"/>
    </xf>
    <xf numFmtId="0" fontId="8" fillId="9" borderId="0" xfId="0" applyFont="1" applyFill="1" applyAlignment="1">
      <alignment horizontal="center" vertical="center"/>
    </xf>
    <xf numFmtId="0" fontId="0" fillId="0" borderId="1" xfId="0" applyFill="1" applyBorder="1" applyAlignment="1">
      <alignment horizontal="center" vertical="center"/>
    </xf>
    <xf numFmtId="0" fontId="19" fillId="0" borderId="1" xfId="0" applyFont="1" applyFill="1" applyBorder="1"/>
    <xf numFmtId="0" fontId="19" fillId="0" borderId="1" xfId="0" applyFont="1" applyFill="1" applyBorder="1" applyAlignment="1">
      <alignment horizontal="center" vertical="center"/>
    </xf>
    <xf numFmtId="3" fontId="19" fillId="0" borderId="1" xfId="0" applyNumberFormat="1" applyFont="1" applyFill="1" applyBorder="1" applyAlignment="1">
      <alignment horizontal="right" vertical="center"/>
    </xf>
    <xf numFmtId="3" fontId="14" fillId="0" borderId="1" xfId="0" applyNumberFormat="1" applyFont="1" applyFill="1" applyBorder="1" applyAlignment="1">
      <alignment horizontal="right" vertical="center"/>
    </xf>
    <xf numFmtId="0" fontId="11" fillId="0" borderId="1" xfId="0" applyFont="1" applyFill="1" applyBorder="1"/>
    <xf numFmtId="0" fontId="8" fillId="9" borderId="0" xfId="0" applyFont="1" applyFill="1" applyBorder="1" applyAlignment="1">
      <alignment horizontal="left" vertical="center"/>
    </xf>
    <xf numFmtId="3" fontId="8" fillId="9" borderId="0" xfId="0" applyNumberFormat="1" applyFont="1" applyFill="1" applyAlignment="1">
      <alignment horizontal="right" vertical="center"/>
    </xf>
    <xf numFmtId="0" fontId="0" fillId="9" borderId="0" xfId="0" applyFill="1"/>
    <xf numFmtId="0" fontId="19" fillId="4" borderId="0" xfId="0" applyFont="1" applyFill="1" applyAlignment="1">
      <alignment horizontal="left" vertical="center"/>
    </xf>
    <xf numFmtId="9" fontId="19" fillId="4" borderId="0" xfId="0" applyNumberFormat="1" applyFont="1" applyFill="1" applyAlignment="1">
      <alignment horizontal="center" vertical="center"/>
    </xf>
    <xf numFmtId="3" fontId="14" fillId="0" borderId="0" xfId="0" applyNumberFormat="1" applyFont="1" applyAlignment="1">
      <alignment horizontal="right" vertical="center"/>
    </xf>
    <xf numFmtId="0" fontId="7" fillId="6" borderId="0" xfId="0" applyFont="1" applyFill="1" applyBorder="1" applyAlignment="1">
      <alignment horizontal="left" vertical="center"/>
    </xf>
    <xf numFmtId="3" fontId="20" fillId="6" borderId="0" xfId="0" applyNumberFormat="1" applyFont="1" applyFill="1" applyAlignment="1">
      <alignment horizontal="right" vertical="center"/>
    </xf>
    <xf numFmtId="0" fontId="0" fillId="6" borderId="0" xfId="0" applyFill="1"/>
    <xf numFmtId="0" fontId="21" fillId="10" borderId="0" xfId="0" applyFont="1" applyFill="1" applyBorder="1" applyAlignment="1">
      <alignment horizontal="left" vertical="center" wrapText="1"/>
    </xf>
    <xf numFmtId="0" fontId="18" fillId="2" borderId="0" xfId="0" applyFont="1" applyFill="1" applyBorder="1" applyAlignment="1">
      <alignment horizontal="center" vertical="center"/>
    </xf>
    <xf numFmtId="0" fontId="14" fillId="0" borderId="1" xfId="0" applyFont="1" applyBorder="1" applyAlignment="1">
      <alignment horizontal="center" vertical="center"/>
    </xf>
    <xf numFmtId="184" fontId="22" fillId="4" borderId="1" xfId="0" applyNumberFormat="1" applyFont="1" applyFill="1" applyBorder="1" applyAlignment="1">
      <alignment horizontal="center" vertical="center"/>
    </xf>
    <xf numFmtId="0" fontId="11" fillId="0" borderId="1" xfId="0" applyFont="1" applyBorder="1"/>
    <xf numFmtId="185" fontId="14" fillId="0" borderId="1" xfId="0" applyNumberFormat="1" applyFont="1" applyFill="1" applyBorder="1" applyAlignment="1">
      <alignment horizontal="center" vertical="center"/>
    </xf>
    <xf numFmtId="185" fontId="23" fillId="0" borderId="1" xfId="0" applyNumberFormat="1" applyFont="1" applyFill="1" applyBorder="1" applyAlignment="1">
      <alignment horizontal="center" vertical="center"/>
    </xf>
    <xf numFmtId="3" fontId="3" fillId="3" borderId="0" xfId="0" applyNumberFormat="1" applyFont="1" applyFill="1" applyAlignment="1">
      <alignment horizontal="right" vertical="center"/>
    </xf>
    <xf numFmtId="0" fontId="0" fillId="3" borderId="0" xfId="0" applyFill="1"/>
    <xf numFmtId="3" fontId="7" fillId="3" borderId="0" xfId="0" applyNumberFormat="1" applyFont="1" applyFill="1" applyAlignment="1">
      <alignment horizontal="righ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6400"/>
      <rgbColor rgb="00000080"/>
      <rgbColor rgb="00808000"/>
      <rgbColor rgb="00800080"/>
      <rgbColor rgb="000F6E56"/>
      <rgbColor rgb="00D3D1C7"/>
      <rgbColor rgb="00888780"/>
      <rgbColor rgb="009999FF"/>
      <rgbColor rgb="00993366"/>
      <rgbColor rgb="00FDF3E3"/>
      <rgbColor rgb="00F0FAF5"/>
      <rgbColor rgb="00660066"/>
      <rgbColor rgb="00FF8080"/>
      <rgbColor rgb="00185FA5"/>
      <rgbColor rgb="00CCCCFF"/>
      <rgbColor rgb="00000080"/>
      <rgbColor rgb="00FF00FF"/>
      <rgbColor rgb="00FFFF00"/>
      <rgbColor rgb="0000FFFF"/>
      <rgbColor rgb="00800080"/>
      <rgbColor rgb="00800000"/>
      <rgbColor rgb="00008080"/>
      <rgbColor rgb="000000FF"/>
      <rgbColor rgb="0000CCFF"/>
      <rgbColor rgb="00F0F5FB"/>
      <rgbColor rgb="00F5FAF7"/>
      <rgbColor rgb="00F7F6F2"/>
      <rgbColor rgb="0099CCFF"/>
      <rgbColor rgb="00FF99CC"/>
      <rgbColor rgb="00CC99FF"/>
      <rgbColor rgb="00FFCC99"/>
      <rgbColor rgb="003366FF"/>
      <rgbColor rgb="0033CCCC"/>
      <rgbColor rgb="0099CC00"/>
      <rgbColor rgb="00FFCC00"/>
      <rgbColor rgb="00FF9900"/>
      <rgbColor rgb="00FF6600"/>
      <rgbColor rgb="00666699"/>
      <rgbColor rgb="00969696"/>
      <rgbColor rgb="000D3B6E"/>
      <rgbColor rgb="00339966"/>
      <rgbColor rgb="00003300"/>
      <rgbColor rgb="005A3E28"/>
      <rgbColor rgb="00854F0B"/>
      <rgbColor rgb="00993366"/>
      <rgbColor rgb="00444441"/>
      <rgbColor rgb="001A3A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2"/>
  <sheetViews>
    <sheetView topLeftCell="A11" workbookViewId="0">
      <selection activeCell="D30" sqref="D30"/>
    </sheetView>
  </sheetViews>
  <sheetFormatPr defaultColWidth="8.67567567567568" defaultRowHeight="14.55" outlineLevelCol="7"/>
  <cols>
    <col min="1" max="1" width="5" customWidth="1"/>
    <col min="2" max="2" width="30" customWidth="1"/>
    <col min="3" max="3" width="20" customWidth="1"/>
    <col min="4" max="4" width="12" customWidth="1"/>
    <col min="5" max="5" width="14" customWidth="1"/>
    <col min="6" max="7" width="18" customWidth="1"/>
    <col min="8" max="8" width="30" customWidth="1"/>
  </cols>
  <sheetData>
    <row r="1" ht="36" customHeight="1" spans="1:8">
      <c r="A1" s="60" t="s">
        <v>0</v>
      </c>
      <c r="B1" s="60"/>
      <c r="C1" s="60"/>
      <c r="D1" s="60"/>
      <c r="E1" s="60"/>
      <c r="F1" s="60"/>
      <c r="G1" s="60"/>
      <c r="H1" s="60"/>
    </row>
    <row r="2" ht="18" customHeight="1" spans="1:8">
      <c r="A2" s="2" t="s">
        <v>1</v>
      </c>
      <c r="B2" s="2"/>
      <c r="C2" s="2"/>
      <c r="D2" s="2"/>
      <c r="E2" s="2"/>
      <c r="F2" s="2"/>
      <c r="G2" s="2"/>
      <c r="H2" s="2"/>
    </row>
    <row r="3" ht="7.5" customHeight="1"/>
    <row r="4" ht="21.75" customHeight="1" spans="1:8">
      <c r="A4" s="22" t="s">
        <v>2</v>
      </c>
      <c r="B4" s="22"/>
      <c r="C4" s="22"/>
      <c r="D4" s="22"/>
      <c r="E4" s="22"/>
      <c r="F4" s="22"/>
      <c r="G4" s="22"/>
      <c r="H4" s="22"/>
    </row>
    <row r="5" ht="24" customHeight="1" spans="1:8">
      <c r="A5" s="15" t="s">
        <v>3</v>
      </c>
      <c r="B5" s="15" t="s">
        <v>4</v>
      </c>
      <c r="C5" s="15" t="s">
        <v>5</v>
      </c>
      <c r="D5" s="15"/>
      <c r="E5" s="15"/>
      <c r="F5" s="15"/>
      <c r="G5" s="15"/>
      <c r="H5" s="15" t="s">
        <v>6</v>
      </c>
    </row>
    <row r="6" ht="19.5" customHeight="1" spans="1:8">
      <c r="A6" s="61">
        <v>1</v>
      </c>
      <c r="B6" s="24" t="s">
        <v>7</v>
      </c>
      <c r="C6" s="62">
        <v>10</v>
      </c>
      <c r="D6" s="25"/>
      <c r="E6" s="25"/>
      <c r="F6" s="25"/>
      <c r="G6" s="25"/>
      <c r="H6" s="63" t="s">
        <v>8</v>
      </c>
    </row>
    <row r="7" ht="19.5" customHeight="1" spans="1:8">
      <c r="A7" s="61">
        <v>2</v>
      </c>
      <c r="B7" s="24" t="s">
        <v>9</v>
      </c>
      <c r="C7" s="62">
        <v>5</v>
      </c>
      <c r="D7" s="25"/>
      <c r="E7" s="25"/>
      <c r="F7" s="25"/>
      <c r="G7" s="25"/>
      <c r="H7" s="63" t="s">
        <v>10</v>
      </c>
    </row>
    <row r="8" ht="19.5" customHeight="1" spans="1:8">
      <c r="A8" s="61">
        <v>3</v>
      </c>
      <c r="B8" s="24" t="s">
        <v>11</v>
      </c>
      <c r="C8" s="62">
        <v>15</v>
      </c>
      <c r="D8" s="25"/>
      <c r="E8" s="25"/>
      <c r="F8" s="25"/>
      <c r="G8" s="25"/>
      <c r="H8" s="63" t="s">
        <v>12</v>
      </c>
    </row>
    <row r="9" ht="19.5" customHeight="1" spans="1:8">
      <c r="A9" s="61">
        <v>4</v>
      </c>
      <c r="B9" s="24" t="s">
        <v>13</v>
      </c>
      <c r="C9" s="62">
        <v>5</v>
      </c>
      <c r="D9" s="25"/>
      <c r="E9" s="25"/>
      <c r="F9" s="25"/>
      <c r="G9" s="25"/>
      <c r="H9" s="63" t="s">
        <v>14</v>
      </c>
    </row>
    <row r="10" ht="19.5" customHeight="1" spans="1:8">
      <c r="A10" s="61">
        <v>5</v>
      </c>
      <c r="B10" s="24" t="s">
        <v>15</v>
      </c>
      <c r="C10" s="62">
        <v>3</v>
      </c>
      <c r="D10" s="25"/>
      <c r="E10" s="25"/>
      <c r="F10" s="25"/>
      <c r="G10" s="25"/>
      <c r="H10" s="63" t="s">
        <v>16</v>
      </c>
    </row>
    <row r="11" ht="7.5" customHeight="1"/>
    <row r="12" ht="21.75" customHeight="1" spans="1:8">
      <c r="A12" s="22" t="s">
        <v>17</v>
      </c>
      <c r="B12" s="22"/>
      <c r="C12" s="22"/>
      <c r="D12" s="22"/>
      <c r="E12" s="22"/>
      <c r="F12" s="22"/>
      <c r="G12" s="22"/>
      <c r="H12" s="22"/>
    </row>
    <row r="13" ht="27.75" customHeight="1" spans="1:8">
      <c r="A13" s="15" t="s">
        <v>18</v>
      </c>
      <c r="B13" s="15" t="s">
        <v>19</v>
      </c>
      <c r="C13" s="15" t="s">
        <v>20</v>
      </c>
      <c r="D13" s="15" t="s">
        <v>21</v>
      </c>
      <c r="E13" s="15" t="s">
        <v>22</v>
      </c>
      <c r="F13" s="15" t="s">
        <v>23</v>
      </c>
      <c r="G13" s="15" t="s">
        <v>24</v>
      </c>
      <c r="H13" s="15" t="s">
        <v>25</v>
      </c>
    </row>
    <row r="14" ht="19.5" customHeight="1" spans="1:8">
      <c r="A14" s="44">
        <v>1</v>
      </c>
      <c r="B14" s="45" t="s">
        <v>26</v>
      </c>
      <c r="C14" s="47">
        <v>3600000</v>
      </c>
      <c r="D14" s="46">
        <v>2022</v>
      </c>
      <c r="E14" s="64">
        <f t="shared" ref="E14:E31" si="0">2026-D14</f>
        <v>4</v>
      </c>
      <c r="F14" s="65">
        <f>C6</f>
        <v>10</v>
      </c>
      <c r="G14" s="48">
        <f t="shared" ref="G14:G31" si="1">MAX(0,C14*(1-E14/F14))</f>
        <v>2160000</v>
      </c>
      <c r="H14" s="49" t="s">
        <v>27</v>
      </c>
    </row>
    <row r="15" ht="19.5" customHeight="1" spans="1:8">
      <c r="A15" s="44">
        <v>2</v>
      </c>
      <c r="B15" s="45" t="s">
        <v>28</v>
      </c>
      <c r="C15" s="47">
        <v>2599000</v>
      </c>
      <c r="D15" s="46">
        <v>2022</v>
      </c>
      <c r="E15" s="64">
        <f t="shared" si="0"/>
        <v>4</v>
      </c>
      <c r="F15" s="65">
        <f>C8</f>
        <v>15</v>
      </c>
      <c r="G15" s="48">
        <f t="shared" si="1"/>
        <v>1905933.33333333</v>
      </c>
      <c r="H15" s="49" t="s">
        <v>29</v>
      </c>
    </row>
    <row r="16" ht="19.5" customHeight="1" spans="1:8">
      <c r="A16" s="44">
        <v>3</v>
      </c>
      <c r="B16" s="45" t="s">
        <v>30</v>
      </c>
      <c r="C16" s="47">
        <v>1399000</v>
      </c>
      <c r="D16" s="46">
        <v>2022</v>
      </c>
      <c r="E16" s="64">
        <f t="shared" si="0"/>
        <v>4</v>
      </c>
      <c r="F16" s="65">
        <f>C8</f>
        <v>15</v>
      </c>
      <c r="G16" s="48">
        <f t="shared" si="1"/>
        <v>1025933.33333333</v>
      </c>
      <c r="H16" s="49" t="s">
        <v>29</v>
      </c>
    </row>
    <row r="17" ht="19.5" customHeight="1" spans="1:8">
      <c r="A17" s="44">
        <v>4</v>
      </c>
      <c r="B17" s="45" t="s">
        <v>31</v>
      </c>
      <c r="C17" s="47">
        <v>299000</v>
      </c>
      <c r="D17" s="46">
        <v>2025</v>
      </c>
      <c r="E17" s="64">
        <f t="shared" si="0"/>
        <v>1</v>
      </c>
      <c r="F17" s="65">
        <f>C10</f>
        <v>3</v>
      </c>
      <c r="G17" s="48">
        <f t="shared" si="1"/>
        <v>199333.333333333</v>
      </c>
      <c r="H17" s="49" t="s">
        <v>32</v>
      </c>
    </row>
    <row r="18" ht="19.5" customHeight="1" spans="1:8">
      <c r="A18" s="44">
        <v>5</v>
      </c>
      <c r="B18" s="45" t="s">
        <v>33</v>
      </c>
      <c r="C18" s="47">
        <v>2600000</v>
      </c>
      <c r="D18" s="46">
        <v>2023</v>
      </c>
      <c r="E18" s="64">
        <f t="shared" si="0"/>
        <v>3</v>
      </c>
      <c r="F18" s="65">
        <f>C7</f>
        <v>5</v>
      </c>
      <c r="G18" s="48">
        <f t="shared" si="1"/>
        <v>1040000</v>
      </c>
      <c r="H18" s="49" t="s">
        <v>34</v>
      </c>
    </row>
    <row r="19" ht="19.5" customHeight="1" spans="1:8">
      <c r="A19" s="44">
        <v>6</v>
      </c>
      <c r="B19" s="45" t="s">
        <v>35</v>
      </c>
      <c r="C19" s="47">
        <v>215900</v>
      </c>
      <c r="D19" s="46">
        <v>2025</v>
      </c>
      <c r="E19" s="64">
        <f t="shared" si="0"/>
        <v>1</v>
      </c>
      <c r="F19" s="65">
        <f>C7</f>
        <v>5</v>
      </c>
      <c r="G19" s="48">
        <f t="shared" si="1"/>
        <v>172720</v>
      </c>
      <c r="H19" s="49" t="s">
        <v>34</v>
      </c>
    </row>
    <row r="20" ht="19.5" customHeight="1" spans="1:8">
      <c r="A20" s="44">
        <v>7</v>
      </c>
      <c r="B20" s="45" t="s">
        <v>36</v>
      </c>
      <c r="C20" s="47">
        <v>135000</v>
      </c>
      <c r="D20" s="46">
        <v>2024</v>
      </c>
      <c r="E20" s="64">
        <f t="shared" si="0"/>
        <v>2</v>
      </c>
      <c r="F20" s="65">
        <f>C8</f>
        <v>15</v>
      </c>
      <c r="G20" s="48">
        <f t="shared" si="1"/>
        <v>117000</v>
      </c>
      <c r="H20" s="49" t="s">
        <v>29</v>
      </c>
    </row>
    <row r="21" ht="19.5" customHeight="1" spans="1:8">
      <c r="A21" s="44">
        <v>8</v>
      </c>
      <c r="B21" s="45" t="s">
        <v>37</v>
      </c>
      <c r="C21" s="47">
        <v>160000</v>
      </c>
      <c r="D21" s="46">
        <v>2022</v>
      </c>
      <c r="E21" s="64">
        <f t="shared" si="0"/>
        <v>4</v>
      </c>
      <c r="F21" s="65">
        <f>C7</f>
        <v>5</v>
      </c>
      <c r="G21" s="48">
        <f t="shared" si="1"/>
        <v>32000</v>
      </c>
      <c r="H21" s="49" t="s">
        <v>34</v>
      </c>
    </row>
    <row r="22" ht="19.5" customHeight="1" spans="1:8">
      <c r="A22" s="44">
        <v>9</v>
      </c>
      <c r="B22" s="45" t="s">
        <v>38</v>
      </c>
      <c r="C22" s="47">
        <v>1050000</v>
      </c>
      <c r="D22" s="46">
        <v>2023</v>
      </c>
      <c r="E22" s="64">
        <f t="shared" si="0"/>
        <v>3</v>
      </c>
      <c r="F22" s="65">
        <f>C6</f>
        <v>10</v>
      </c>
      <c r="G22" s="48">
        <f t="shared" si="1"/>
        <v>735000</v>
      </c>
      <c r="H22" s="49" t="s">
        <v>39</v>
      </c>
    </row>
    <row r="23" ht="19.5" customHeight="1" spans="1:8">
      <c r="A23" s="44">
        <v>10</v>
      </c>
      <c r="B23" s="45" t="s">
        <v>40</v>
      </c>
      <c r="C23" s="47">
        <v>671400</v>
      </c>
      <c r="D23" s="46">
        <v>2024</v>
      </c>
      <c r="E23" s="64">
        <f t="shared" si="0"/>
        <v>2</v>
      </c>
      <c r="F23" s="65">
        <f>C6</f>
        <v>10</v>
      </c>
      <c r="G23" s="48">
        <f t="shared" si="1"/>
        <v>537120</v>
      </c>
      <c r="H23" s="49" t="s">
        <v>39</v>
      </c>
    </row>
    <row r="24" ht="19.5" customHeight="1" spans="1:8">
      <c r="A24" s="44">
        <v>11</v>
      </c>
      <c r="B24" s="45" t="s">
        <v>41</v>
      </c>
      <c r="C24" s="47">
        <v>4150000</v>
      </c>
      <c r="D24" s="46">
        <v>2025</v>
      </c>
      <c r="E24" s="64">
        <f t="shared" si="0"/>
        <v>1</v>
      </c>
      <c r="F24" s="65">
        <f>C9</f>
        <v>5</v>
      </c>
      <c r="G24" s="48">
        <f t="shared" si="1"/>
        <v>3320000</v>
      </c>
      <c r="H24" s="49" t="s">
        <v>42</v>
      </c>
    </row>
    <row r="25" ht="19.5" customHeight="1" spans="1:8">
      <c r="A25" s="44">
        <v>12</v>
      </c>
      <c r="B25" s="45" t="s">
        <v>43</v>
      </c>
      <c r="C25" s="47">
        <v>75050</v>
      </c>
      <c r="D25" s="46">
        <v>2024</v>
      </c>
      <c r="E25" s="64">
        <f t="shared" si="0"/>
        <v>2</v>
      </c>
      <c r="F25" s="65">
        <f>C7</f>
        <v>5</v>
      </c>
      <c r="G25" s="48">
        <f t="shared" si="1"/>
        <v>45030</v>
      </c>
      <c r="H25" s="49" t="s">
        <v>34</v>
      </c>
    </row>
    <row r="26" ht="19.5" customHeight="1" spans="1:8">
      <c r="A26" s="44">
        <v>13</v>
      </c>
      <c r="B26" s="45" t="s">
        <v>44</v>
      </c>
      <c r="C26" s="47">
        <v>309000</v>
      </c>
      <c r="D26" s="46">
        <v>2026</v>
      </c>
      <c r="E26" s="64">
        <f t="shared" si="0"/>
        <v>0</v>
      </c>
      <c r="F26" s="65">
        <f>C10</f>
        <v>3</v>
      </c>
      <c r="G26" s="48">
        <f t="shared" si="1"/>
        <v>309000</v>
      </c>
      <c r="H26" s="49" t="s">
        <v>32</v>
      </c>
    </row>
    <row r="27" ht="19.5" customHeight="1" spans="1:8">
      <c r="A27" s="44">
        <v>14</v>
      </c>
      <c r="B27" s="45" t="s">
        <v>45</v>
      </c>
      <c r="C27" s="47">
        <v>54000</v>
      </c>
      <c r="D27" s="46">
        <v>2025</v>
      </c>
      <c r="E27" s="64">
        <f t="shared" si="0"/>
        <v>1</v>
      </c>
      <c r="F27" s="65">
        <f>C10</f>
        <v>3</v>
      </c>
      <c r="G27" s="48">
        <f t="shared" si="1"/>
        <v>36000</v>
      </c>
      <c r="H27" s="49" t="s">
        <v>32</v>
      </c>
    </row>
    <row r="28" ht="19.5" customHeight="1" spans="1:8">
      <c r="A28" s="44">
        <v>15</v>
      </c>
      <c r="B28" s="45" t="s">
        <v>46</v>
      </c>
      <c r="C28" s="47">
        <v>100000</v>
      </c>
      <c r="D28" s="46">
        <v>2020</v>
      </c>
      <c r="E28" s="64">
        <f t="shared" si="0"/>
        <v>6</v>
      </c>
      <c r="F28" s="65">
        <f>C8</f>
        <v>15</v>
      </c>
      <c r="G28" s="48">
        <f t="shared" si="1"/>
        <v>60000</v>
      </c>
      <c r="H28" s="49" t="s">
        <v>29</v>
      </c>
    </row>
    <row r="29" ht="19.5" customHeight="1" spans="1:8">
      <c r="A29" s="44">
        <v>16</v>
      </c>
      <c r="B29" s="45" t="s">
        <v>47</v>
      </c>
      <c r="C29" s="47">
        <v>1360000</v>
      </c>
      <c r="D29" s="46">
        <v>2017</v>
      </c>
      <c r="E29" s="64">
        <f t="shared" si="0"/>
        <v>9</v>
      </c>
      <c r="F29" s="65">
        <f>C6</f>
        <v>10</v>
      </c>
      <c r="G29" s="48">
        <f t="shared" si="1"/>
        <v>136000</v>
      </c>
      <c r="H29" s="49" t="s">
        <v>48</v>
      </c>
    </row>
    <row r="30" ht="19.5" customHeight="1" spans="1:8">
      <c r="A30" s="44">
        <v>17</v>
      </c>
      <c r="B30" s="45" t="s">
        <v>49</v>
      </c>
      <c r="C30" s="47">
        <v>500000</v>
      </c>
      <c r="D30" s="46">
        <v>2026</v>
      </c>
      <c r="E30" s="64">
        <f t="shared" si="0"/>
        <v>0</v>
      </c>
      <c r="F30" s="65">
        <f>C9</f>
        <v>5</v>
      </c>
      <c r="G30" s="48">
        <f t="shared" si="1"/>
        <v>500000</v>
      </c>
      <c r="H30" s="49" t="s">
        <v>50</v>
      </c>
    </row>
    <row r="31" ht="19.5" customHeight="1" spans="1:8">
      <c r="A31" s="44">
        <v>18</v>
      </c>
      <c r="B31" s="45" t="s">
        <v>51</v>
      </c>
      <c r="C31" s="47">
        <v>23000000</v>
      </c>
      <c r="D31" s="46">
        <v>2026</v>
      </c>
      <c r="E31" s="64">
        <f t="shared" si="0"/>
        <v>0</v>
      </c>
      <c r="F31" s="65">
        <f>C6</f>
        <v>10</v>
      </c>
      <c r="G31" s="48">
        <f t="shared" si="1"/>
        <v>23000000</v>
      </c>
      <c r="H31" s="49" t="s">
        <v>39</v>
      </c>
    </row>
    <row r="32" ht="30" customHeight="1" spans="1:8">
      <c r="A32" s="14" t="s">
        <v>52</v>
      </c>
      <c r="B32" s="14"/>
      <c r="C32" s="66">
        <f>SUM(C14:C31)</f>
        <v>42277350</v>
      </c>
      <c r="D32" s="67"/>
      <c r="E32" s="67"/>
      <c r="F32" s="67"/>
      <c r="G32" s="68">
        <f>SUM(G14:G31)</f>
        <v>35331070</v>
      </c>
      <c r="H32" s="67"/>
    </row>
    <row r="33" ht="7.5" customHeight="1"/>
    <row r="34" ht="39.75" customHeight="1" spans="1:8">
      <c r="A34" s="59" t="s">
        <v>53</v>
      </c>
      <c r="B34" s="59"/>
      <c r="C34" s="59"/>
      <c r="D34" s="59"/>
      <c r="E34" s="59"/>
      <c r="F34" s="59"/>
      <c r="G34" s="59"/>
      <c r="H34" s="59"/>
    </row>
    <row r="38" spans="1:8">
      <c r="A38" s="22" t="s">
        <v>54</v>
      </c>
      <c r="B38" s="22"/>
      <c r="C38" s="22"/>
      <c r="D38" s="22"/>
      <c r="E38" s="22"/>
    </row>
    <row r="39" spans="1:8">
      <c r="A39" s="23" t="s">
        <v>55</v>
      </c>
      <c r="B39" s="24" t="s">
        <v>56</v>
      </c>
      <c r="C39" s="25"/>
      <c r="D39" s="25"/>
      <c r="E39" s="25"/>
    </row>
    <row r="40" spans="1:8">
      <c r="A40" s="26" t="s">
        <v>57</v>
      </c>
      <c r="B40" s="24" t="s">
        <v>58</v>
      </c>
      <c r="C40" s="25"/>
      <c r="D40" s="25"/>
      <c r="E40" s="25"/>
    </row>
    <row r="41" spans="1:8">
      <c r="A41" s="27" t="s">
        <v>59</v>
      </c>
      <c r="B41" s="24" t="s">
        <v>60</v>
      </c>
      <c r="C41" s="25"/>
      <c r="D41" s="25"/>
      <c r="E41" s="25"/>
    </row>
    <row r="42" spans="1:8">
      <c r="A42" s="28" t="s">
        <v>61</v>
      </c>
      <c r="B42" s="29" t="s">
        <v>62</v>
      </c>
      <c r="C42" s="25"/>
      <c r="D42" s="25"/>
      <c r="E42" s="25"/>
    </row>
  </sheetData>
  <mergeCells count="7">
    <mergeCell ref="A1:H1"/>
    <mergeCell ref="A2:H2"/>
    <mergeCell ref="A4:H4"/>
    <mergeCell ref="A12:H12"/>
    <mergeCell ref="A32:B32"/>
    <mergeCell ref="A34:H34"/>
    <mergeCell ref="A38:E38"/>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7"/>
  <sheetViews>
    <sheetView tabSelected="1" workbookViewId="0">
      <selection activeCell="A13" sqref="$A13:$XFD13"/>
    </sheetView>
  </sheetViews>
  <sheetFormatPr defaultColWidth="8.67567567567568" defaultRowHeight="14.55" outlineLevelCol="5"/>
  <cols>
    <col min="1" max="1" width="5" customWidth="1"/>
    <col min="2" max="2" width="32" customWidth="1"/>
    <col min="3" max="3" width="10" customWidth="1"/>
    <col min="4" max="5" width="20" customWidth="1"/>
    <col min="6" max="6" width="23.8558558558559" customWidth="1"/>
    <col min="7" max="7" width="5" customWidth="1"/>
  </cols>
  <sheetData>
    <row r="1" ht="36" customHeight="1" spans="1:6">
      <c r="A1" s="30" t="s">
        <v>63</v>
      </c>
      <c r="B1" s="30"/>
      <c r="C1" s="30"/>
      <c r="D1" s="30"/>
      <c r="E1" s="30"/>
      <c r="F1" s="30"/>
    </row>
    <row r="2" ht="18" customHeight="1" spans="1:6">
      <c r="A2" s="2" t="s">
        <v>64</v>
      </c>
      <c r="B2" s="2"/>
      <c r="C2" s="2"/>
      <c r="D2" s="2"/>
      <c r="E2" s="2"/>
      <c r="F2" s="2"/>
    </row>
    <row r="3" ht="7.5" customHeight="1"/>
    <row r="4" ht="21.75" customHeight="1" spans="1:6">
      <c r="A4" s="31" t="s">
        <v>65</v>
      </c>
      <c r="B4" s="31"/>
      <c r="C4" s="31"/>
      <c r="D4" s="31"/>
      <c r="E4" s="31"/>
      <c r="F4" s="31"/>
    </row>
    <row r="5" ht="24" customHeight="1" spans="1:6">
      <c r="A5" s="32" t="s">
        <v>18</v>
      </c>
      <c r="B5" s="32" t="s">
        <v>19</v>
      </c>
      <c r="C5" s="32" t="s">
        <v>66</v>
      </c>
      <c r="D5" s="32" t="s">
        <v>67</v>
      </c>
      <c r="E5" s="32" t="s">
        <v>68</v>
      </c>
      <c r="F5" s="32" t="s">
        <v>69</v>
      </c>
    </row>
    <row r="6" ht="19.5" customHeight="1" spans="1:6">
      <c r="A6" s="33">
        <v>1</v>
      </c>
      <c r="B6" s="34" t="s">
        <v>70</v>
      </c>
      <c r="C6" s="35">
        <v>1</v>
      </c>
      <c r="D6" s="36">
        <v>3750000</v>
      </c>
      <c r="E6" s="37">
        <f t="shared" ref="E6:E13" si="0">C6*D6</f>
        <v>3750000</v>
      </c>
      <c r="F6" s="38" t="s">
        <v>71</v>
      </c>
    </row>
    <row r="7" ht="19.5" customHeight="1" spans="1:6">
      <c r="A7" s="33">
        <v>2</v>
      </c>
      <c r="B7" s="34" t="s">
        <v>72</v>
      </c>
      <c r="C7" s="35">
        <v>1</v>
      </c>
      <c r="D7" s="36">
        <v>2000000</v>
      </c>
      <c r="E7" s="37">
        <f t="shared" si="0"/>
        <v>2000000</v>
      </c>
      <c r="F7" s="38" t="s">
        <v>73</v>
      </c>
    </row>
    <row r="8" ht="19.5" customHeight="1" spans="1:6">
      <c r="A8" s="33">
        <v>3</v>
      </c>
      <c r="B8" s="34" t="s">
        <v>74</v>
      </c>
      <c r="C8" s="35">
        <v>5</v>
      </c>
      <c r="D8" s="36">
        <v>335000</v>
      </c>
      <c r="E8" s="37">
        <f t="shared" si="0"/>
        <v>1675000</v>
      </c>
      <c r="F8" s="38" t="s">
        <v>75</v>
      </c>
    </row>
    <row r="9" ht="19.5" customHeight="1" spans="1:6">
      <c r="A9" s="33">
        <v>4</v>
      </c>
      <c r="B9" s="34" t="s">
        <v>76</v>
      </c>
      <c r="C9" s="35">
        <v>6</v>
      </c>
      <c r="D9" s="36">
        <v>593000</v>
      </c>
      <c r="E9" s="37">
        <f t="shared" si="0"/>
        <v>3558000</v>
      </c>
      <c r="F9" s="38" t="s">
        <v>77</v>
      </c>
    </row>
    <row r="10" ht="19.5" customHeight="1" spans="1:6">
      <c r="A10" s="33">
        <v>5</v>
      </c>
      <c r="B10" s="34" t="s">
        <v>78</v>
      </c>
      <c r="C10" s="35">
        <v>1</v>
      </c>
      <c r="D10" s="36">
        <v>2935000</v>
      </c>
      <c r="E10" s="37">
        <f t="shared" si="0"/>
        <v>2935000</v>
      </c>
      <c r="F10" s="38" t="s">
        <v>77</v>
      </c>
    </row>
    <row r="11" ht="19.5" customHeight="1" spans="1:6">
      <c r="A11" s="33">
        <v>6</v>
      </c>
      <c r="B11" s="34" t="s">
        <v>79</v>
      </c>
      <c r="C11" s="35">
        <v>1</v>
      </c>
      <c r="D11" s="36">
        <v>3398000</v>
      </c>
      <c r="E11" s="37">
        <f t="shared" si="0"/>
        <v>3398000</v>
      </c>
      <c r="F11" s="38" t="s">
        <v>80</v>
      </c>
    </row>
    <row r="12" ht="19.5" customHeight="1" spans="1:6">
      <c r="A12" s="33">
        <v>7</v>
      </c>
      <c r="B12" s="34" t="s">
        <v>81</v>
      </c>
      <c r="C12" s="35">
        <v>4</v>
      </c>
      <c r="D12" s="36">
        <v>500000</v>
      </c>
      <c r="E12" s="37">
        <f t="shared" si="0"/>
        <v>2000000</v>
      </c>
      <c r="F12" s="38" t="s">
        <v>82</v>
      </c>
    </row>
    <row r="13" ht="24" customHeight="1" spans="1:6">
      <c r="A13" s="39" t="s">
        <v>83</v>
      </c>
      <c r="B13" s="39"/>
      <c r="C13" s="39"/>
      <c r="D13" s="39"/>
      <c r="E13" s="40">
        <f>SUM(E6:E12)</f>
        <v>19316000</v>
      </c>
      <c r="F13" s="41"/>
    </row>
    <row r="14" ht="7.5" customHeight="1"/>
    <row r="15" ht="21.75" customHeight="1" spans="1:6">
      <c r="A15" s="42" t="s">
        <v>84</v>
      </c>
      <c r="B15" s="42"/>
      <c r="C15" s="42"/>
      <c r="D15" s="42"/>
      <c r="E15" s="42"/>
      <c r="F15" s="42"/>
    </row>
    <row r="16" ht="24" customHeight="1" spans="1:6">
      <c r="A16" s="43" t="s">
        <v>18</v>
      </c>
      <c r="B16" s="43" t="s">
        <v>85</v>
      </c>
      <c r="C16" s="43" t="s">
        <v>66</v>
      </c>
      <c r="D16" s="43" t="s">
        <v>86</v>
      </c>
      <c r="E16" s="43" t="s">
        <v>68</v>
      </c>
      <c r="F16" s="43" t="s">
        <v>69</v>
      </c>
    </row>
    <row r="17" ht="19.5" customHeight="1" spans="1:6">
      <c r="A17" s="44">
        <v>1</v>
      </c>
      <c r="B17" s="45" t="s">
        <v>87</v>
      </c>
      <c r="C17" s="46">
        <v>1</v>
      </c>
      <c r="D17" s="47">
        <v>500000</v>
      </c>
      <c r="E17" s="48">
        <f t="shared" ref="E17:E24" si="1">C17*D17</f>
        <v>500000</v>
      </c>
      <c r="F17" s="49" t="s">
        <v>88</v>
      </c>
    </row>
    <row r="18" ht="19.5" customHeight="1" spans="1:6">
      <c r="A18" s="44">
        <v>2</v>
      </c>
      <c r="B18" s="45" t="s">
        <v>89</v>
      </c>
      <c r="C18" s="46">
        <v>1</v>
      </c>
      <c r="D18" s="47">
        <v>4000000</v>
      </c>
      <c r="E18" s="48">
        <f t="shared" si="1"/>
        <v>4000000</v>
      </c>
      <c r="F18" s="49" t="s">
        <v>90</v>
      </c>
    </row>
    <row r="19" ht="19.5" customHeight="1" spans="1:6">
      <c r="A19" s="44">
        <v>3</v>
      </c>
      <c r="B19" s="45" t="s">
        <v>91</v>
      </c>
      <c r="C19" s="46">
        <v>1</v>
      </c>
      <c r="D19" s="47">
        <v>1500000</v>
      </c>
      <c r="E19" s="48">
        <f t="shared" si="1"/>
        <v>1500000</v>
      </c>
      <c r="F19" s="49" t="s">
        <v>92</v>
      </c>
    </row>
    <row r="20" ht="19.5" customHeight="1" spans="1:6">
      <c r="A20" s="44">
        <v>4</v>
      </c>
      <c r="B20" s="45" t="s">
        <v>93</v>
      </c>
      <c r="C20" s="46">
        <v>1</v>
      </c>
      <c r="D20" s="47">
        <v>2000000</v>
      </c>
      <c r="E20" s="48">
        <f t="shared" si="1"/>
        <v>2000000</v>
      </c>
      <c r="F20" s="49" t="s">
        <v>94</v>
      </c>
    </row>
    <row r="21" ht="19.5" customHeight="1" spans="1:6">
      <c r="A21" s="44">
        <v>5</v>
      </c>
      <c r="B21" s="45" t="s">
        <v>95</v>
      </c>
      <c r="C21" s="46">
        <v>2</v>
      </c>
      <c r="D21" s="47">
        <v>4000000</v>
      </c>
      <c r="E21" s="48">
        <f t="shared" si="1"/>
        <v>8000000</v>
      </c>
      <c r="F21" s="49" t="s">
        <v>96</v>
      </c>
    </row>
    <row r="22" ht="19.5" customHeight="1" spans="1:6">
      <c r="A22" s="44">
        <v>6</v>
      </c>
      <c r="B22" s="45" t="s">
        <v>97</v>
      </c>
      <c r="C22" s="46">
        <v>1</v>
      </c>
      <c r="D22" s="47">
        <v>1500000</v>
      </c>
      <c r="E22" s="48">
        <f t="shared" si="1"/>
        <v>1500000</v>
      </c>
      <c r="F22" s="49" t="s">
        <v>98</v>
      </c>
    </row>
    <row r="23" ht="19.5" customHeight="1" spans="1:6">
      <c r="A23" s="44">
        <v>7</v>
      </c>
      <c r="B23" s="45" t="s">
        <v>99</v>
      </c>
      <c r="C23" s="46">
        <v>2</v>
      </c>
      <c r="D23" s="47">
        <v>3000000</v>
      </c>
      <c r="E23" s="48">
        <f t="shared" si="1"/>
        <v>6000000</v>
      </c>
      <c r="F23" s="49" t="s">
        <v>100</v>
      </c>
    </row>
    <row r="24" ht="19.5" customHeight="1" spans="1:6">
      <c r="A24" s="44">
        <v>8</v>
      </c>
      <c r="B24" s="45" t="s">
        <v>101</v>
      </c>
      <c r="C24" s="46">
        <v>2</v>
      </c>
      <c r="D24" s="47">
        <v>3000000</v>
      </c>
      <c r="E24" s="48">
        <f t="shared" si="1"/>
        <v>6000000</v>
      </c>
      <c r="F24" s="49" t="s">
        <v>100</v>
      </c>
    </row>
    <row r="25" ht="24" customHeight="1" spans="1:6">
      <c r="A25" s="50" t="s">
        <v>102</v>
      </c>
      <c r="B25" s="50"/>
      <c r="C25" s="50"/>
      <c r="D25" s="50"/>
      <c r="E25" s="51">
        <f>SUM(E17:E24)</f>
        <v>29500000</v>
      </c>
      <c r="F25" s="52"/>
    </row>
    <row r="26" ht="19.5" customHeight="1" spans="1:6">
      <c r="A26" s="53" t="s">
        <v>103</v>
      </c>
      <c r="B26" s="20" t="str">
        <f>C26*100&amp;"% dari subtotal"</f>
        <v>20% dari subtotal</v>
      </c>
      <c r="C26" s="54">
        <v>0.2</v>
      </c>
      <c r="D26" s="20" t="s">
        <v>104</v>
      </c>
      <c r="E26" s="55">
        <f>(E13+E25)*C26</f>
        <v>9763200</v>
      </c>
    </row>
    <row r="27" ht="31.5" customHeight="1" spans="1:6">
      <c r="A27" s="56" t="s">
        <v>105</v>
      </c>
      <c r="B27" s="56"/>
      <c r="C27" s="56"/>
      <c r="D27" s="56"/>
      <c r="E27" s="57">
        <f>E13+E25+E26</f>
        <v>58579200</v>
      </c>
      <c r="F27" s="58"/>
    </row>
    <row r="28" ht="7.5" customHeight="1"/>
    <row r="29" ht="36" customHeight="1" spans="1:6">
      <c r="A29" s="59" t="s">
        <v>106</v>
      </c>
      <c r="B29" s="59"/>
      <c r="C29" s="59"/>
      <c r="D29" s="59"/>
      <c r="E29" s="59"/>
      <c r="F29" s="59"/>
    </row>
    <row r="33" spans="2:6">
      <c r="B33" s="22" t="s">
        <v>54</v>
      </c>
      <c r="C33" s="22"/>
      <c r="D33" s="22"/>
      <c r="E33" s="22"/>
      <c r="F33" s="22"/>
    </row>
    <row r="34" spans="2:6">
      <c r="B34" s="23" t="s">
        <v>55</v>
      </c>
      <c r="C34" s="24" t="s">
        <v>56</v>
      </c>
      <c r="D34" s="25"/>
      <c r="E34" s="25"/>
      <c r="F34" s="25"/>
    </row>
    <row r="35" spans="2:6">
      <c r="B35" s="26" t="s">
        <v>57</v>
      </c>
      <c r="C35" s="24" t="s">
        <v>58</v>
      </c>
      <c r="D35" s="25"/>
      <c r="E35" s="25"/>
      <c r="F35" s="25"/>
    </row>
    <row r="36" spans="2:6">
      <c r="B36" s="27" t="s">
        <v>59</v>
      </c>
      <c r="C36" s="24" t="s">
        <v>60</v>
      </c>
      <c r="D36" s="25"/>
      <c r="E36" s="25"/>
      <c r="F36" s="25"/>
    </row>
    <row r="37" spans="2:6">
      <c r="B37" s="28" t="s">
        <v>61</v>
      </c>
      <c r="C37" s="29" t="s">
        <v>62</v>
      </c>
      <c r="D37" s="25"/>
      <c r="E37" s="25"/>
      <c r="F37" s="25"/>
    </row>
  </sheetData>
  <mergeCells count="8">
    <mergeCell ref="A1:F1"/>
    <mergeCell ref="A2:F2"/>
    <mergeCell ref="A4:F4"/>
    <mergeCell ref="A13:D13"/>
    <mergeCell ref="A15:F15"/>
    <mergeCell ref="A25:D25"/>
    <mergeCell ref="A27:D27"/>
    <mergeCell ref="A29:F29"/>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topLeftCell="A2" workbookViewId="0">
      <selection activeCell="C9" sqref="C9"/>
    </sheetView>
  </sheetViews>
  <sheetFormatPr defaultColWidth="8.67567567567568" defaultRowHeight="14.55" outlineLevelCol="4"/>
  <cols>
    <col min="1" max="1" width="36" customWidth="1"/>
    <col min="2" max="4" width="24" customWidth="1"/>
    <col min="5" max="5" width="38.7117117117117" customWidth="1"/>
  </cols>
  <sheetData>
    <row r="1" ht="42" customHeight="1" spans="1:5">
      <c r="A1" s="1" t="s">
        <v>107</v>
      </c>
      <c r="B1" s="1"/>
      <c r="C1" s="1"/>
      <c r="D1" s="1"/>
      <c r="E1" s="1"/>
    </row>
    <row r="2" ht="19.5" customHeight="1" spans="1:5">
      <c r="A2" s="2" t="s">
        <v>108</v>
      </c>
      <c r="B2" s="2"/>
      <c r="C2" s="2"/>
      <c r="D2" s="2"/>
      <c r="E2" s="2"/>
    </row>
    <row r="3" ht="7.5" customHeight="1"/>
    <row r="4" ht="30" customHeight="1" spans="1:5">
      <c r="A4" s="3" t="s">
        <v>109</v>
      </c>
      <c r="B4" s="3" t="s">
        <v>110</v>
      </c>
      <c r="C4" s="3" t="s">
        <v>111</v>
      </c>
      <c r="D4" s="3" t="s">
        <v>112</v>
      </c>
      <c r="E4" s="3" t="s">
        <v>6</v>
      </c>
    </row>
    <row r="5" ht="21.75" customHeight="1" spans="1:5">
      <c r="A5" s="4" t="s">
        <v>113</v>
      </c>
      <c r="B5" s="5">
        <f>'Investasi Investor'!E13</f>
        <v>19316000</v>
      </c>
      <c r="C5" s="6">
        <v>0</v>
      </c>
      <c r="D5" s="7">
        <f>IFERROR(IF(ISNUMBER(B5),B5/(B11+C11),IF(ISNUMBER(C5),C5/(B11+C11),"-")),"-")</f>
        <v>0.205685704023639</v>
      </c>
      <c r="E5" s="8" t="s">
        <v>114</v>
      </c>
    </row>
    <row r="6" ht="21.75" customHeight="1" spans="1:5">
      <c r="A6" s="4" t="s">
        <v>115</v>
      </c>
      <c r="B6" s="5">
        <f>'Investasi Investor'!E25</f>
        <v>29500000</v>
      </c>
      <c r="C6" s="6">
        <v>0</v>
      </c>
      <c r="D6" s="7">
        <f>IFERROR(IF(ISNUMBER(B6),B6/(B11+C11),IF(ISNUMBER(C6),C6/(B11+C11),"-")),"-")</f>
        <v>0.314129647375095</v>
      </c>
      <c r="E6" s="8" t="s">
        <v>116</v>
      </c>
    </row>
    <row r="7" ht="21.75" customHeight="1" spans="1:5">
      <c r="A7" s="4" t="str">
        <f>"Buffer "&amp;'Investasi Investor'!C26*100&amp;"% biaya tak terduga"</f>
        <v>Buffer 20% biaya tak terduga</v>
      </c>
      <c r="B7" s="5">
        <f>'Investasi Investor'!E26</f>
        <v>9763200</v>
      </c>
      <c r="C7" s="6">
        <v>0</v>
      </c>
      <c r="D7" s="7">
        <f>IFERROR(IF(ISNUMBER(B7),B7/(B11+C11),IF(ISNUMBER(C7),C7/(B11+C11),"-")),"-")</f>
        <v>0.103963070279747</v>
      </c>
      <c r="E7" s="8"/>
    </row>
    <row r="8" ht="21.75" customHeight="1" spans="1:5">
      <c r="A8" s="4" t="s">
        <v>117</v>
      </c>
      <c r="B8" s="6">
        <v>0</v>
      </c>
      <c r="C8" s="5">
        <f>'Modal Pengelola'!G32</f>
        <v>35331070</v>
      </c>
      <c r="D8" s="7">
        <f>IFERROR(IF(ISNUMBER(B8),B8/(B11+C11),IF(ISNUMBER(C8),C8/(B11+C11),"-")),"-")</f>
        <v>0</v>
      </c>
      <c r="E8" s="8" t="s">
        <v>118</v>
      </c>
    </row>
    <row r="9" ht="21.75" customHeight="1" spans="1:5">
      <c r="A9" s="4" t="s">
        <v>119</v>
      </c>
      <c r="B9" s="9" t="s">
        <v>120</v>
      </c>
      <c r="C9" s="6">
        <v>0</v>
      </c>
      <c r="D9" s="7">
        <f>IFERROR(IF(ISNUMBER(B9),B9/(B11+C11),IF(ISNUMBER(C9),C9/(B11+C11),"-")),"-")</f>
        <v>0</v>
      </c>
      <c r="E9" s="8" t="s">
        <v>121</v>
      </c>
    </row>
    <row r="10" ht="21.75" customHeight="1" spans="1:5">
      <c r="A10" s="4" t="s">
        <v>122</v>
      </c>
      <c r="B10" s="6">
        <v>0</v>
      </c>
      <c r="C10" s="9" t="s">
        <v>120</v>
      </c>
      <c r="D10" s="7">
        <f>IFERROR(IF(ISNUMBER(B10),B10/(B11+C11),IF(ISNUMBER(C10),C10/(B11+C11),"-")),"-")</f>
        <v>0</v>
      </c>
      <c r="E10" s="8" t="s">
        <v>123</v>
      </c>
    </row>
    <row r="11" ht="30" customHeight="1" spans="1:5">
      <c r="A11" s="10" t="s">
        <v>124</v>
      </c>
      <c r="B11" s="11">
        <f>SUMIF(B5:B10,"&gt;0",B5:B10)</f>
        <v>58579200</v>
      </c>
      <c r="C11" s="11">
        <f>SUMIF(C5:C10,"&gt;0",C5:C10)</f>
        <v>35331070</v>
      </c>
      <c r="D11" s="12">
        <f>B11/(B11+C11)</f>
        <v>0.623778421678481</v>
      </c>
      <c r="E11" s="13"/>
    </row>
    <row r="13" ht="21.75" customHeight="1" spans="1:5">
      <c r="A13" s="14" t="s">
        <v>125</v>
      </c>
      <c r="B13" s="14"/>
      <c r="C13" s="14"/>
      <c r="D13" s="14"/>
      <c r="E13" s="14"/>
    </row>
    <row r="14" ht="24" customHeight="1" spans="1:5">
      <c r="A14" s="15" t="s">
        <v>126</v>
      </c>
      <c r="B14" s="15" t="s">
        <v>127</v>
      </c>
      <c r="C14" s="15" t="s">
        <v>128</v>
      </c>
      <c r="D14" s="15" t="s">
        <v>129</v>
      </c>
      <c r="E14" s="15" t="s">
        <v>6</v>
      </c>
    </row>
    <row r="15" ht="24" customHeight="1" spans="1:5">
      <c r="A15" s="16" t="s">
        <v>130</v>
      </c>
      <c r="B15" s="17">
        <v>0.3</v>
      </c>
      <c r="C15" s="18">
        <f>1-B15</f>
        <v>0.7</v>
      </c>
      <c r="D15" s="19">
        <f>B15-B11/(B11+C11)</f>
        <v>-0.323778421678481</v>
      </c>
      <c r="E15" s="20" t="s">
        <v>131</v>
      </c>
    </row>
    <row r="17" ht="21.75" customHeight="1" spans="1:5">
      <c r="A17" s="21" t="s">
        <v>132</v>
      </c>
      <c r="B17" s="21"/>
      <c r="C17" s="21"/>
      <c r="D17" s="21"/>
      <c r="E17" s="21"/>
    </row>
    <row r="18" ht="21.75" customHeight="1" spans="1:5">
      <c r="A18" s="21"/>
      <c r="B18" s="21"/>
      <c r="C18" s="21"/>
      <c r="D18" s="21"/>
      <c r="E18" s="21"/>
    </row>
    <row r="19" ht="21.75" customHeight="1" spans="1:5">
      <c r="A19" s="21"/>
      <c r="B19" s="21"/>
      <c r="C19" s="21"/>
      <c r="D19" s="21"/>
      <c r="E19" s="21"/>
    </row>
    <row r="20" ht="21.75" customHeight="1" spans="1:5">
      <c r="A20" s="21"/>
      <c r="B20" s="21"/>
      <c r="C20" s="21"/>
      <c r="D20" s="21"/>
      <c r="E20" s="21"/>
    </row>
    <row r="22" ht="21.75" customHeight="1" spans="1:5">
      <c r="A22" s="22" t="s">
        <v>54</v>
      </c>
      <c r="B22" s="22"/>
      <c r="C22" s="22"/>
      <c r="D22" s="22"/>
      <c r="E22" s="22"/>
    </row>
    <row r="23" ht="19.5" customHeight="1" spans="1:5">
      <c r="A23" s="23" t="s">
        <v>55</v>
      </c>
      <c r="B23" s="24" t="s">
        <v>56</v>
      </c>
      <c r="C23" s="25"/>
      <c r="D23" s="25"/>
      <c r="E23" s="25"/>
    </row>
    <row r="24" ht="19.5" customHeight="1" spans="1:5">
      <c r="A24" s="26" t="s">
        <v>57</v>
      </c>
      <c r="B24" s="24" t="s">
        <v>58</v>
      </c>
      <c r="C24" s="25"/>
      <c r="D24" s="25"/>
      <c r="E24" s="25"/>
    </row>
    <row r="25" ht="19.5" customHeight="1" spans="1:5">
      <c r="A25" s="27" t="s">
        <v>59</v>
      </c>
      <c r="B25" s="24" t="s">
        <v>60</v>
      </c>
      <c r="C25" s="25"/>
      <c r="D25" s="25"/>
      <c r="E25" s="25"/>
    </row>
    <row r="26" ht="19.5" customHeight="1" spans="1:5">
      <c r="A26" s="28" t="s">
        <v>61</v>
      </c>
      <c r="B26" s="29" t="s">
        <v>62</v>
      </c>
      <c r="C26" s="25"/>
      <c r="D26" s="25"/>
      <c r="E26" s="25"/>
    </row>
  </sheetData>
  <mergeCells count="5">
    <mergeCell ref="A1:E1"/>
    <mergeCell ref="A2:E2"/>
    <mergeCell ref="A13:E13"/>
    <mergeCell ref="A22:E22"/>
    <mergeCell ref="A17:E20"/>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3</vt:i4>
      </vt:variant>
    </vt:vector>
  </HeadingPairs>
  <TitlesOfParts>
    <vt:vector size="3" baseType="lpstr">
      <vt:lpstr>Modal Pengelola</vt:lpstr>
      <vt:lpstr>Investasi Investor</vt:lpstr>
      <vt:lpstr>Ringkasan Modal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Arsenius Sutandio</cp:lastModifiedBy>
  <cp:revision>0</cp:revision>
  <dcterms:created xsi:type="dcterms:W3CDTF">2026-04-30T02:48:00Z</dcterms:created>
  <dcterms:modified xsi:type="dcterms:W3CDTF">2026-05-01T03:48:04Z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11C40549ABD846E98DBB849B7F62C2D8_12</vt:lpwstr>
  </property>
  <property fmtid="{D5CDD505-2E9C-101B-9397-08002B2CF9AE}" pid="3" name="KSOProductBuildVer">
    <vt:lpwstr>1033-12.1.0.25830</vt:lpwstr>
  </property>
  <property fmtid="{D5CDD505-2E9C-101B-9397-08002B2CF9AE}" pid="4" name="CalculationRule">
    <vt:i4>0</vt:i4>
  </property>
</Properties>
</file>