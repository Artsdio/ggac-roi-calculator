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Modal Pengelola" sheetId="2" state="visible" r:id="rId4"/>
    <sheet name="Investasi Investor" sheetId="3" state="visible" r:id="rId5"/>
    <sheet name="Ringkasan Modal" sheetId="4" state="visible" r:id="rId6"/>
  </sheets>
  <definedNames>
    <definedName function="false" hidden="false" localSheetId="2" name="_xlnm.Print_Titles" vbProcedure="false">'Investasi Investor'!$1:$3</definedName>
    <definedName function="false" hidden="false" localSheetId="1" name="_xlnm.Print_Titles" vbProcedure="false">'Modal Pengelola'!$1:$3</definedName>
    <definedName function="false" hidden="false" localSheetId="3" name="_xlnm.Print_Titles" vbProcedure="false">'Ringkasan Modal'!$1:$4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<sst xmlns="http://schemas.openxmlformats.org/spreadsheetml/2006/main" count="208" uniqueCount="172">
  <si>
    <t xml:space="preserve">RINGKASAN</t>
  </si>
  <si>
    <t xml:space="preserve">Sheet kedua (Modal Pengelola) berisi modal awal yang  dimiliki oleh pengelola (Evline) setelah dipotong nilai buku.</t>
  </si>
  <si>
    <t xml:space="preserve">Sheet kedua Juga berisi barang-barang tambahan / alat tambahan yang ditambahkan ketika sesi kelas / private berjalan.</t>
  </si>
  <si>
    <t xml:space="preserve">Sheet ketiga (Investasi Invstor) berisi modal awal yang kurang lebih dibutuhkan untuk ditambahkan oleh investor.</t>
  </si>
  <si>
    <t xml:space="preserve">Sheet keempat (Ringkasan Modal) berisi perbandingan modal Peengelola dan Modal Investor. </t>
  </si>
  <si>
    <t xml:space="preserve">Kebutuhan paling urgent (segera disediakan) adalah: penambahan dumbell (sedikit dahulu) dan All in One Trainer Echo Strenghbae.</t>
  </si>
  <si>
    <t xml:space="preserve">Link mesin: https://www.tokopedia.com/strengthbae/all-in-one-trainer-echo-strengthbae-squat-rack-power-rack-smith-machine-cable-machine-functional-trainer-pull-up-1732188275480364996?extParam=ivf%3Dfalse%26keyword%3Dall+in+one+echo+trainer%26search_id%3D20260511035103577BCC914F9E5514FLSP%26src%3Dsearch</t>
  </si>
  <si>
    <t xml:space="preserve">Pemilihan alat ini dikarenakan lebih komplit sehingga sesi private bisa bertambah dan dapat menarik minat dari penghuni apartemen untuk latihan mandiri tanpa PT. </t>
  </si>
  <si>
    <t xml:space="preserve">PENDAPATAN </t>
  </si>
  <si>
    <t xml:space="preserve">Pendapatan Maret 2026: Rp 800.000 (dari client lama pengelola)</t>
  </si>
  <si>
    <t xml:space="preserve">Pendapatan April 2026: Rp 1.930.000 (dari client lama pengelola)</t>
  </si>
  <si>
    <t xml:space="preserve">Pendapatan Mei (s/d tanggal 9): Rp 1.500.000 (dari client lama pengelola) + Rp 600.000 (dari kelas chair exercise) = Rp 2.100.000</t>
  </si>
  <si>
    <t xml:space="preserve">STATUS CLIENT PENGELOLA</t>
  </si>
  <si>
    <t xml:space="preserve">13 Orang sudah pindah ke Greko</t>
  </si>
  <si>
    <t xml:space="preserve">9 Orang tidak diperpanjang</t>
  </si>
  <si>
    <t xml:space="preserve">Dokter Debora (Muara Indah) kemungkinan juga tidak akan diperpanjang</t>
  </si>
  <si>
    <t xml:space="preserve">5 Orang masih home visit (2 pasang suami istri: Oom Ching &amp; di Gatsu) &amp; Oma 87 tahun di Singgasana (tinggal sendirian)</t>
  </si>
  <si>
    <t xml:space="preserve">2 Orang client baru di Greko</t>
  </si>
  <si>
    <t xml:space="preserve">KETERANGAN</t>
  </si>
  <si>
    <t xml:space="preserve">Penambahan alat baru untuk keperluan Kelas dan Private: 12pcs Resistant Band, 2pcs Angkle Strap, dan rencana akan ada tambahan berikutnya, tetapi</t>
  </si>
  <si>
    <t xml:space="preserve">Dana saat ini sedang diprioritaskan untuk mengambil pelatihan Strength Training for Senior (untuk Arsen) di bulan Agustus sebelum pendaftaran ditutup karena penuh.</t>
  </si>
  <si>
    <t xml:space="preserve">INVENTARIS PERALATAN PENGELOLA — GGAC</t>
  </si>
  <si>
    <t xml:space="preserve">Pihak II — Pengelola  |  Metode: Depresiasi Garis Lurus  |  Tahun Hitung: 2026  |  ⚡ Sel BIRU = input, HITAM = formula, HIJAU = link antar sheet</t>
  </si>
  <si>
    <t xml:space="preserve">  ASUMSI UMUR EKONOMIS  (⚡ Ubah sel KUNING — semua nilai buku terupdate otomatis)</t>
  </si>
  <si>
    <t xml:space="preserve">No</t>
  </si>
  <si>
    <t xml:space="preserve">Kategori Alat</t>
  </si>
  <si>
    <t xml:space="preserve">Umur Ekonomis (thn)</t>
  </si>
  <si>
    <t xml:space="preserve">Keterangan</t>
  </si>
  <si>
    <t xml:space="preserve">Mesin / alat berat (cable, squat machine)</t>
  </si>
  <si>
    <t xml:space="preserve">Treadmill, squat rack, cable machine</t>
  </si>
  <si>
    <t xml:space="preserve">Matras &amp; aksesori lunak</t>
  </si>
  <si>
    <t xml:space="preserve">Matras, gym ball, stepper</t>
  </si>
  <si>
    <t xml:space="preserve">Dumbbell / besi (tidak menyusut cepat)</t>
  </si>
  <si>
    <t xml:space="preserve">Dumbbell, barbell, kettlebell</t>
  </si>
  <si>
    <t xml:space="preserve">Elektronik &amp; alat ukur</t>
  </si>
  <si>
    <t xml:space="preserve">Timbangan InBody, dsb.</t>
  </si>
  <si>
    <t xml:space="preserve">Aksesori umum (band, blok, TRX)</t>
  </si>
  <si>
    <t xml:space="preserve">Resistance band, yoga block, TRX</t>
  </si>
  <si>
    <t xml:space="preserve">  DAFTAR PERALATAN &amp; PERHITUNGAN NILAI BUKU</t>
  </si>
  <si>
    <t xml:space="preserve">No.</t>
  </si>
  <si>
    <t xml:space="preserve">Nama Peralatan</t>
  </si>
  <si>
    <t xml:space="preserve">Harga Beli (Rp)</t>
  </si>
  <si>
    <t xml:space="preserve">Thn Beli</t>
  </si>
  <si>
    <t xml:space="preserve">Usia (per 2026)</t>
  </si>
  <si>
    <t xml:space="preserve">Nilai Buku (Rp)</t>
  </si>
  <si>
    <t xml:space="preserve">Kategori</t>
  </si>
  <si>
    <t xml:space="preserve">Squat Track</t>
  </si>
  <si>
    <t xml:space="preserve">Mesin</t>
  </si>
  <si>
    <t xml:space="preserve">Dumbbell Set + Barbell</t>
  </si>
  <si>
    <t xml:space="preserve">Besi</t>
  </si>
  <si>
    <t xml:space="preserve">Barbell 12kg</t>
  </si>
  <si>
    <t xml:space="preserve">TRX Decathlon</t>
  </si>
  <si>
    <t xml:space="preserve">Aksesori</t>
  </si>
  <si>
    <t xml:space="preserve">Matras Manduka Pro</t>
  </si>
  <si>
    <t xml:space="preserve">Matras</t>
  </si>
  <si>
    <t xml:space="preserve">Stepper</t>
  </si>
  <si>
    <t xml:space="preserve">Kettle Bell</t>
  </si>
  <si>
    <t xml:space="preserve">Gym Ball Besar</t>
  </si>
  <si>
    <t xml:space="preserve">Treadmill</t>
  </si>
  <si>
    <t xml:space="preserve">Pulley Set</t>
  </si>
  <si>
    <t xml:space="preserve">Timbangan InBody</t>
  </si>
  <si>
    <t xml:space="preserve">Elektronik</t>
  </si>
  <si>
    <t xml:space="preserve">Gym Ball Happyfit</t>
  </si>
  <si>
    <t xml:space="preserve">Resistance Band</t>
  </si>
  <si>
    <t xml:space="preserve">Yoga Block 2pcs</t>
  </si>
  <si>
    <t xml:space="preserve">Dumbbells</t>
  </si>
  <si>
    <t xml:space="preserve">Squat &amp; Back Cycle</t>
  </si>
  <si>
    <t xml:space="preserve">Accessories</t>
  </si>
  <si>
    <t xml:space="preserve">TOTAL NILAI BUKU MODAL PENGELOLA</t>
  </si>
  <si>
    <t xml:space="preserve">⚡ CARA PAKAI: Ubah Harga Beli (C, biru) atau Tahun Beli (D, biru) → Nilai Buku (G) terupdate. Ubah Umur Ekonomis (baris 6–10, kuning) → semua item kategori sama ikut berubah. Kolom G otomatis = 0 jika alat sudah habis masa pakainya.</t>
  </si>
  <si>
    <t xml:space="preserve">RENCANA INVESTASI INVESTOR — GGAC</t>
  </si>
  <si>
    <t xml:space="preserve">Pihak I — Owner / Investor  |  ⚡ Ubah Qty atau harga (sel BIRU) → Total otomatis terupdate  |  Qty=0 = belum dibeli (tidak masuk total)</t>
  </si>
  <si>
    <t xml:space="preserve">  📦  FASE 1 — PRIORITAS / URGENT  (item aktif, langsung dibutuhkan)</t>
  </si>
  <si>
    <t xml:space="preserve">Nama Peralatan / Item</t>
  </si>
  <si>
    <t xml:space="preserve">Qty</t>
  </si>
  <si>
    <t xml:space="preserve">Harga Satuan (Rp)</t>
  </si>
  <si>
    <t xml:space="preserve">Total (Rp)</t>
  </si>
  <si>
    <t xml:space="preserve">All in One Trainer Echo (Strengthbae)</t>
  </si>
  <si>
    <t xml:space="preserve">Prioritas utama</t>
  </si>
  <si>
    <t xml:space="preserve">Bench (Strengthbae)</t>
  </si>
  <si>
    <t xml:space="preserve">Melengkapi machine all in one</t>
  </si>
  <si>
    <t xml:space="preserve">Dumbbell 3-tier Rack (Strengthbae)</t>
  </si>
  <si>
    <t xml:space="preserve">Rak dumbbell</t>
  </si>
  <si>
    <t xml:space="preserve">Dumbbell 1-5kg /pce (Strengthbae)</t>
  </si>
  <si>
    <t xml:space="preserve">Latihan kekuatan tangan</t>
  </si>
  <si>
    <t xml:space="preserve">Subtotal Fase 1</t>
  </si>
  <si>
    <t xml:space="preserve">  📦  FASE 2 — PENGEMBANGAN  (Qty=0 = belum dibeli, tidak masuk perhitungan ROI Fase 1)</t>
  </si>
  <si>
    <t xml:space="preserve">Stall Bar (No Brand) 1 set</t>
  </si>
  <si>
    <t xml:space="preserve">Keseimbangan &amp; kelas grup</t>
  </si>
  <si>
    <t xml:space="preserve">Rubber Floor 3cm /m² (Strengthbae) 6m2</t>
  </si>
  <si>
    <t xml:space="preserve">Area mesin &amp; TRX</t>
  </si>
  <si>
    <t xml:space="preserve">Rubber Floor 1cm /m² (Strengthbae) 6m2</t>
  </si>
  <si>
    <t xml:space="preserve">Yoga Mat (Kettler) 4 pcs</t>
  </si>
  <si>
    <t xml:space="preserve">Floor exercise</t>
  </si>
  <si>
    <t xml:space="preserve">Subtotal Fase 2  (otomatis =0 selama semua Qty=0)</t>
  </si>
  <si>
    <t xml:space="preserve">  🏠  FASILITAS PENUNJANG  (Qty=0 = belum dibeli / ditunda)</t>
  </si>
  <si>
    <t xml:space="preserve">Item Fasilitas</t>
  </si>
  <si>
    <t xml:space="preserve">Est. Biaya Satuan (Rp)</t>
  </si>
  <si>
    <t xml:space="preserve">Tirai penutup kaca</t>
  </si>
  <si>
    <t xml:space="preserve">Mengurangi panas matahari</t>
  </si>
  <si>
    <t xml:space="preserve">Lemari penyimpanan</t>
  </si>
  <si>
    <t xml:space="preserve">Penyimpanan peralatan gym</t>
  </si>
  <si>
    <t xml:space="preserve">Locker klien</t>
  </si>
  <si>
    <t xml:space="preserve">Penyimpanan barang klien</t>
  </si>
  <si>
    <t xml:space="preserve">Cermin</t>
  </si>
  <si>
    <t xml:space="preserve">Koreksi postur klien</t>
  </si>
  <si>
    <t xml:space="preserve">Shower pria</t>
  </si>
  <si>
    <t xml:space="preserve">Ditunda ke Fase 2</t>
  </si>
  <si>
    <t xml:space="preserve">Shower wanita</t>
  </si>
  <si>
    <t xml:space="preserve">Subtotal Penunjang (hanya Qty&gt;0)</t>
  </si>
  <si>
    <t xml:space="preserve">  📊  RINGKASAN PERHITUNGAN — Fase 1 vs Fase 1+2  (terupdate otomatis saat Qty atau harga diubah)</t>
  </si>
  <si>
    <t xml:space="preserve">Komponen</t>
  </si>
  <si>
    <t xml:space="preserve">Fase 1 saja (Rp)</t>
  </si>
  <si>
    <t xml:space="preserve">Fase 1 + 2 (Rp)</t>
  </si>
  <si>
    <t xml:space="preserve">Selisih / tambahan (Rp)</t>
  </si>
  <si>
    <t xml:space="preserve">Peralatan gym Fase 1</t>
  </si>
  <si>
    <t xml:space="preserve">Sama untuk kedua skenario</t>
  </si>
  <si>
    <t xml:space="preserve">Peralatan gym Fase 2</t>
  </si>
  <si>
    <t xml:space="preserve">Hanya masuk Fase 1+2</t>
  </si>
  <si>
    <t xml:space="preserve">Fasilitas penunjang (Qty&gt;0)</t>
  </si>
  <si>
    <t xml:space="preserve">Subtotal sebelum buffer</t>
  </si>
  <si>
    <t xml:space="preserve">Buffer % (ubah sel KUNING di sini)→</t>
  </si>
  <si>
    <t xml:space="preserve">← Ubah % buffer di sini (default 10%)</t>
  </si>
  <si>
    <t xml:space="preserve">TOTAL INVESTASI OWNER</t>
  </si>
  <si>
    <t xml:space="preserve">Gunakan sesuai fase yg dipilih</t>
  </si>
  <si>
    <t xml:space="preserve">⚡ CARA PAKAI: (1) Ubah Qty/harga item (sel BIRU) → Total &amp; Ringkasan terupdate otomatis.  (2) Qty=0 = belum dibeli — otomatis tidak masuk subtotal.  (3) Ubah % buffer (sel KUNING kanan) → semua total terupdate.  (4) Saat Fase 2 siap beli: ubah Qty dari 0 ke jumlah yg dibutuhkan.</t>
  </si>
  <si>
    <t xml:space="preserve">RINGKASAN MODAL AWAL — GGAC</t>
  </si>
  <si>
    <t xml:space="preserve">Perbandingan kontribusi modal Pihak I (Owner) dan Pihak II (Pengelola)  |  Ditampilkan dalam dua skenario: Fase 1 saja vs Fase 1 + Fase 2</t>
  </si>
  <si>
    <t xml:space="preserve">Komponen Modal</t>
  </si>
  <si>
    <t xml:space="preserve">Owner — Fase 1 (Rp)</t>
  </si>
  <si>
    <t xml:space="preserve">Owner — Fase 1+2 (Rp)</t>
  </si>
  <si>
    <t xml:space="preserve">Pengelola Pihak II (Rp)</t>
  </si>
  <si>
    <t xml:space="preserve">% Modal Total
(Fase 1)</t>
  </si>
  <si>
    <t xml:space="preserve">Peralatan gym Fase 1 (Qty&gt;0)</t>
  </si>
  <si>
    <t xml:space="preserve">Lihat Sheet Investasi Investor — Fase 1</t>
  </si>
  <si>
    <t xml:space="preserve">Peralatan gym Fase 2 (saat dibeli)</t>
  </si>
  <si>
    <t xml:space="preserve">Fase 2: Qty=0 saat ini → total otomatis 0. Ubah Qty saat siap beli.</t>
  </si>
  <si>
    <t xml:space="preserve">Tirai, lemari, locker, cermin aktif</t>
  </si>
  <si>
    <t xml:space="preserve">Buffer biaya tak terduga</t>
  </si>
  <si>
    <t xml:space="preserve">Peralatan existing pengelola (nilai buku)</t>
  </si>
  <si>
    <t xml:space="preserve">Nilai buku per 2026 — lihat Sheet Modal Pengelola</t>
  </si>
  <si>
    <t xml:space="preserve">Akses lokasi tanpa sewa (in-kind)</t>
  </si>
  <si>
    <t xml:space="preserve">Non-kas</t>
  </si>
  <si>
    <t xml:space="preserve">Kontribusi in-kind Pihak I — belum dinilai secara kas</t>
  </si>
  <si>
    <t xml:space="preserve">Keahlian, kurikulum &amp; klien existing (in-kind)</t>
  </si>
  <si>
    <t xml:space="preserve">Kontribusi in-kind Pihak II — belum dinilai secara kas</t>
  </si>
  <si>
    <t xml:space="preserve">TOTAL MODAL KAS</t>
  </si>
  <si>
    <t xml:space="preserve">100%</t>
  </si>
  <si>
    <t xml:space="preserve">  📊  SKEMA BAGI HASIL  (⚡ Ubah sel KUNING untuk simulasi negosiasi)</t>
  </si>
  <si>
    <t xml:space="preserve">Parameter</t>
  </si>
  <si>
    <t xml:space="preserve">Owner — Fase 1</t>
  </si>
  <si>
    <t xml:space="preserve">Owner — Fase 1+2</t>
  </si>
  <si>
    <t xml:space="preserve">Pengelola Pihak II</t>
  </si>
  <si>
    <t xml:space="preserve">Selisih Porsi
vs Modal Fase 1</t>
  </si>
  <si>
    <t xml:space="preserve">Porsi bagi hasil laba bersih (%)</t>
  </si>
  <si>
    <t xml:space="preserve">Negatif = owner dapat &lt; porsi modal  |  Ubah sel B ini untuk simulasi</t>
  </si>
  <si>
    <t xml:space="preserve">Bagian owner/bln jika laba Rp 12 juta</t>
  </si>
  <si>
    <t xml:space="preserve">Contoh ilustrasi dengan laba bersih Rp 12 jt/bln</t>
  </si>
  <si>
    <t xml:space="preserve">ROI owner / thn (estimasi laba Rp 12 jt/bln)</t>
  </si>
  <si>
    <t xml:space="preserve">Ubah angka 12000000 sesuai laba proyeksi aktual</t>
  </si>
  <si>
    <t xml:space="preserve">📌 ANALISIS &amp; PANDUAN NEGOSIASI
• Ubah bagi hasil (sel B kuning baris 'Porsi bagi hasil') → ROI otomatis terhitung untuk kedua pihak.
• Selisih porsi vs modal (kolom E): jika negatif, owner mendapat bagi hasil lebih kecil dari porsi modal.
  Ini dapat dijustifikasi jika pengelola berkontribusi keahlian, klien existing, dan manajemen operasional.
• Kolom 'Fase 1+2' relevan digunakan setelah Fase 2 benar-benar dibeli (Qty diubah dari 0).
• Semua sel HIJAU = link otomatis dari sheet lain — berubah saat data di sheet asal diubah.</t>
  </si>
  <si>
    <t xml:space="preserve">  LEGENDA WARNA — berlaku di semua sheet</t>
  </si>
  <si>
    <t xml:space="preserve">■  Biru</t>
  </si>
  <si>
    <t xml:space="preserve">Input / angka yang dapat diubah user</t>
  </si>
  <si>
    <t xml:space="preserve">■  Hitam</t>
  </si>
  <si>
    <t xml:space="preserve">Formula otomatis — jangan diubah manual</t>
  </si>
  <si>
    <t xml:space="preserve">■  Hijau</t>
  </si>
  <si>
    <t xml:space="preserve">Link ke sheet lain — otomatis terupdate</t>
  </si>
  <si>
    <t xml:space="preserve">■  Kuning (background)</t>
  </si>
  <si>
    <t xml:space="preserve">Asumsi kunci — perlu perhatian khusus</t>
  </si>
  <si>
    <t xml:space="preserve">■  Qty = 0</t>
  </si>
  <si>
    <t xml:space="preserve">Item belum dibeli — otomatis tidak masuk subtotal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</si>
</sst>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&quot; thn&quot;"/>
    <numFmt numFmtId="166" formatCode="#,##0;\(#,##0\);\-"/>
    <numFmt numFmtId="167" formatCode="0.0%;\(0.0%\);\-"/>
    <numFmt numFmtId="168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rgb="FFFFFFFF"/>
      <name val="Arial"/>
      <family val="0"/>
      <charset val="1"/>
    </font>
    <font>
      <sz val="9"/>
      <color rgb="FF8887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854F0B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006400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854F0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2A"/>
        <bgColor rgb="FF003300"/>
      </patternFill>
    </fill>
    <fill>
      <patternFill patternType="solid">
        <fgColor rgb="FF0F6E5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5FAF7"/>
        <bgColor rgb="FFF7F6F2"/>
      </patternFill>
    </fill>
    <fill>
      <patternFill patternType="solid">
        <fgColor rgb="FFFFFFFF"/>
        <bgColor rgb="FFF5FAF7"/>
      </patternFill>
    </fill>
    <fill>
      <patternFill patternType="solid">
        <fgColor rgb="FFFDF3E3"/>
        <bgColor rgb="FFF7F6F2"/>
      </patternFill>
    </fill>
    <fill>
      <patternFill patternType="solid">
        <fgColor rgb="FF0D3B6E"/>
        <bgColor rgb="FF1A3A2A"/>
      </patternFill>
    </fill>
    <fill>
      <patternFill patternType="solid">
        <fgColor rgb="FF5A3E28"/>
        <bgColor rgb="FF444441"/>
      </patternFill>
    </fill>
    <fill>
      <patternFill patternType="solid">
        <fgColor rgb="FF854F0B"/>
        <bgColor rgb="FF5A3E28"/>
      </patternFill>
    </fill>
    <fill>
      <patternFill patternType="solid">
        <fgColor rgb="FF185FA5"/>
        <bgColor rgb="FF0F6E56"/>
      </patternFill>
    </fill>
    <fill>
      <patternFill patternType="solid">
        <fgColor rgb="FFF7F6F2"/>
        <bgColor rgb="FFF5FAF7"/>
      </patternFill>
    </fill>
    <fill>
      <patternFill patternType="solid">
        <fgColor rgb="FFE8F5EE"/>
        <bgColor rgb="FFF7F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1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11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6" fillId="11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3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1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F6E56"/>
      <rgbColor rgb="FFD3D1C7"/>
      <rgbColor rgb="FF888780"/>
      <rgbColor rgb="FF9999FF"/>
      <rgbColor rgb="FF993366"/>
      <rgbColor rgb="FFFDF3E3"/>
      <rgbColor rgb="FFE8F5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AF7"/>
      <rgbColor rgb="FFF7F6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B6E"/>
      <rgbColor rgb="FF339966"/>
      <rgbColor rgb="FF003300"/>
      <rgbColor rgb="FF5A3E28"/>
      <rgbColor rgb="FF854F0B"/>
      <rgbColor rgb="FF993366"/>
      <rgbColor rgb="FF444441"/>
      <rgbColor rgb="FF1A3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okopedia.com/strengthbae/all-in-one-trainer-echo-strengthbae-squat-rack-power-rack-smith-machine-cable-machine-functional-trainer-pull-up-1732188275480364996?extParam=ivf%3Dfalse%26keyword%3Dall+in+one+echo+trainer%26search_id%3D202605110351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ColWidth="9.14453125" defaultRowHeight="23.1" zeroHeight="false" outlineLevelRow="0" outlineLevelCol="0"/>
  <cols>
    <col collapsed="false" customWidth="false" hidden="false" outlineLevel="0" max="16384" min="1" style="1" width="9.14"/>
  </cols>
  <sheetData>
    <row r="1" customFormat="false" ht="23.1" hidden="false" customHeight="true" outlineLevel="0" collapsed="false">
      <c r="A1" s="1" t="s">
        <v>0</v>
      </c>
    </row>
    <row r="2" customFormat="false" ht="23.1" hidden="false" customHeight="true" outlineLevel="0" collapsed="false">
      <c r="A2" s="2" t="n">
        <v>1</v>
      </c>
      <c r="B2" s="2" t="s">
        <v>1</v>
      </c>
    </row>
    <row r="3" customFormat="false" ht="23.1" hidden="false" customHeight="true" outlineLevel="0" collapsed="false">
      <c r="A3" s="2" t="n">
        <v>2</v>
      </c>
      <c r="B3" s="2" t="s">
        <v>2</v>
      </c>
    </row>
    <row r="4" customFormat="false" ht="23.1" hidden="false" customHeight="true" outlineLevel="0" collapsed="false">
      <c r="A4" s="2" t="n">
        <v>3</v>
      </c>
      <c r="B4" s="2" t="s">
        <v>3</v>
      </c>
    </row>
    <row r="5" customFormat="false" ht="23.1" hidden="false" customHeight="true" outlineLevel="0" collapsed="false">
      <c r="A5" s="2" t="n">
        <v>4</v>
      </c>
      <c r="B5" s="2" t="s">
        <v>4</v>
      </c>
    </row>
    <row r="6" customFormat="false" ht="23.1" hidden="false" customHeight="true" outlineLevel="0" collapsed="false">
      <c r="A6" s="2" t="n">
        <v>5</v>
      </c>
      <c r="B6" s="2" t="s">
        <v>5</v>
      </c>
    </row>
    <row r="7" customFormat="false" ht="23.1" hidden="false" customHeight="true" outlineLevel="0" collapsed="false">
      <c r="A7" s="2" t="n">
        <v>6</v>
      </c>
      <c r="B7" s="2" t="s">
        <v>6</v>
      </c>
    </row>
    <row r="8" customFormat="false" ht="23.1" hidden="false" customHeight="true" outlineLevel="0" collapsed="false">
      <c r="A8" s="2" t="n">
        <v>7</v>
      </c>
      <c r="B8" s="2" t="s">
        <v>7</v>
      </c>
    </row>
    <row r="9" customFormat="false" ht="23.1" hidden="false" customHeight="true" outlineLevel="0" collapsed="false">
      <c r="A9" s="3"/>
    </row>
    <row r="10" customFormat="false" ht="23.1" hidden="false" customHeight="true" outlineLevel="0" collapsed="false">
      <c r="A10" s="1" t="s">
        <v>8</v>
      </c>
    </row>
    <row r="11" customFormat="false" ht="23.1" hidden="false" customHeight="true" outlineLevel="0" collapsed="false">
      <c r="A11" s="2" t="n">
        <v>1</v>
      </c>
      <c r="B11" s="2" t="s">
        <v>9</v>
      </c>
    </row>
    <row r="12" customFormat="false" ht="23.1" hidden="false" customHeight="true" outlineLevel="0" collapsed="false">
      <c r="A12" s="2" t="n">
        <v>2</v>
      </c>
      <c r="B12" s="2" t="s">
        <v>10</v>
      </c>
    </row>
    <row r="13" customFormat="false" ht="23.1" hidden="false" customHeight="true" outlineLevel="0" collapsed="false">
      <c r="A13" s="2" t="n">
        <v>3</v>
      </c>
      <c r="B13" s="2" t="s">
        <v>11</v>
      </c>
    </row>
    <row r="14" customFormat="false" ht="23.1" hidden="false" customHeight="true" outlineLevel="0" collapsed="false">
      <c r="A14" s="2"/>
      <c r="B14" s="2"/>
    </row>
    <row r="15" customFormat="false" ht="23.1" hidden="false" customHeight="true" outlineLevel="0" collapsed="false">
      <c r="A15" s="1" t="s">
        <v>12</v>
      </c>
      <c r="B15" s="2"/>
    </row>
    <row r="16" customFormat="false" ht="23.1" hidden="false" customHeight="true" outlineLevel="0" collapsed="false">
      <c r="A16" s="2" t="n">
        <v>1</v>
      </c>
      <c r="B16" s="2" t="s">
        <v>13</v>
      </c>
    </row>
    <row r="17" customFormat="false" ht="23.1" hidden="false" customHeight="true" outlineLevel="0" collapsed="false">
      <c r="A17" s="2" t="n">
        <v>2</v>
      </c>
      <c r="B17" s="2" t="s">
        <v>14</v>
      </c>
    </row>
    <row r="18" customFormat="false" ht="23.1" hidden="false" customHeight="true" outlineLevel="0" collapsed="false">
      <c r="A18" s="2" t="n">
        <v>3</v>
      </c>
      <c r="B18" s="2" t="s">
        <v>15</v>
      </c>
    </row>
    <row r="19" customFormat="false" ht="23.1" hidden="false" customHeight="true" outlineLevel="0" collapsed="false">
      <c r="A19" s="2" t="n">
        <v>4</v>
      </c>
      <c r="B19" s="2" t="s">
        <v>16</v>
      </c>
    </row>
    <row r="20" customFormat="false" ht="23.1" hidden="false" customHeight="true" outlineLevel="0" collapsed="false">
      <c r="A20" s="2" t="n">
        <v>5</v>
      </c>
      <c r="B20" s="4" t="s">
        <v>17</v>
      </c>
    </row>
    <row r="21" customFormat="false" ht="23.1" hidden="false" customHeight="true" outlineLevel="0" collapsed="false">
      <c r="A21" s="2"/>
      <c r="B21" s="5"/>
    </row>
    <row r="22" customFormat="false" ht="23.1" hidden="false" customHeight="true" outlineLevel="0" collapsed="false">
      <c r="A22" s="1" t="s">
        <v>18</v>
      </c>
    </row>
    <row r="23" customFormat="false" ht="23.1" hidden="false" customHeight="true" outlineLevel="0" collapsed="false">
      <c r="A23" s="2" t="n">
        <v>1</v>
      </c>
      <c r="B23" s="2" t="s">
        <v>19</v>
      </c>
    </row>
    <row r="24" customFormat="false" ht="23.1" hidden="false" customHeight="true" outlineLevel="0" collapsed="false">
      <c r="A24" s="2" t="n">
        <v>2</v>
      </c>
      <c r="B24" s="2" t="s">
        <v>20</v>
      </c>
    </row>
    <row r="1048576" customFormat="false" ht="12.8" hidden="false" customHeight="true" outlineLevel="0" collapsed="false"/>
  </sheetData>
  <hyperlinks>
    <hyperlink ref="B7" r:id="rId1" display="Link mesin: https://www.tokopedia.com/strengthbae/all-in-one-trainer-echo-strengthbae-squat-rack-power-rack-smith-machine-cable-machine-functional-trainer-pull-up-1732188275480364996?extParam=ivf%3Dfalse%26keyword%3Dall+in+one+echo+trainer%26search_id%3D20260511035103577BCC914F9E5514FLSP%26src%3Dsearch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5" width="5"/>
    <col collapsed="false" customWidth="true" hidden="false" outlineLevel="0" max="2" min="2" style="5" width="30.43"/>
    <col collapsed="false" customWidth="true" hidden="false" outlineLevel="0" max="3" min="3" style="5" width="10.2"/>
    <col collapsed="false" customWidth="true" hidden="false" outlineLevel="0" max="4" min="4" style="5" width="12"/>
    <col collapsed="false" customWidth="true" hidden="false" outlineLevel="0" max="5" min="5" style="5" width="14"/>
    <col collapsed="false" customWidth="true" hidden="false" outlineLevel="0" max="6" min="6" style="5" width="18"/>
    <col collapsed="false" customWidth="true" hidden="false" outlineLevel="0" max="7" min="7" style="5" width="11.19"/>
    <col collapsed="false" customWidth="true" hidden="false" outlineLevel="0" max="8" min="8" style="5" width="25.77"/>
  </cols>
  <sheetData>
    <row r="1" customFormat="false" ht="36" hidden="false" customHeight="true" outlineLevel="0" collapsed="false">
      <c r="A1" s="6" t="s">
        <v>21</v>
      </c>
      <c r="B1" s="6"/>
      <c r="C1" s="6"/>
      <c r="D1" s="6"/>
      <c r="E1" s="6"/>
      <c r="F1" s="6"/>
      <c r="G1" s="6"/>
      <c r="H1" s="6"/>
    </row>
    <row r="2" customFormat="false" ht="15.75" hidden="false" customHeight="true" outlineLevel="0" collapsed="false">
      <c r="A2" s="7" t="s">
        <v>22</v>
      </c>
      <c r="B2" s="7"/>
      <c r="C2" s="7"/>
      <c r="D2" s="7"/>
      <c r="E2" s="7"/>
      <c r="F2" s="7"/>
      <c r="G2" s="7"/>
      <c r="H2" s="7"/>
    </row>
    <row r="3" customFormat="false" ht="7.5" hidden="false" customHeight="true" outlineLevel="0" collapsed="false"/>
    <row r="4" customFormat="false" ht="21.75" hidden="false" customHeight="true" outlineLevel="0" collapsed="false">
      <c r="A4" s="8" t="s">
        <v>23</v>
      </c>
      <c r="B4" s="8"/>
      <c r="C4" s="8"/>
      <c r="D4" s="8"/>
      <c r="E4" s="8"/>
      <c r="F4" s="8"/>
      <c r="G4" s="8"/>
      <c r="H4" s="8"/>
    </row>
    <row r="5" customFormat="false" ht="24" hidden="false" customHeight="true" outlineLevel="0" collapsed="false">
      <c r="A5" s="9" t="s">
        <v>24</v>
      </c>
      <c r="B5" s="9" t="s">
        <v>25</v>
      </c>
      <c r="C5" s="9" t="s">
        <v>26</v>
      </c>
      <c r="D5" s="9"/>
      <c r="E5" s="9"/>
      <c r="F5" s="9"/>
      <c r="G5" s="9"/>
      <c r="H5" s="9" t="s">
        <v>27</v>
      </c>
    </row>
    <row r="6" customFormat="false" ht="19.5" hidden="false" customHeight="true" outlineLevel="0" collapsed="false">
      <c r="A6" s="10" t="n">
        <v>1</v>
      </c>
      <c r="B6" s="11" t="s">
        <v>28</v>
      </c>
      <c r="C6" s="12" t="n">
        <v>10</v>
      </c>
      <c r="D6" s="13"/>
      <c r="E6" s="13"/>
      <c r="F6" s="13"/>
      <c r="G6" s="13"/>
      <c r="H6" s="14" t="s">
        <v>29</v>
      </c>
    </row>
    <row r="7" customFormat="false" ht="19.5" hidden="false" customHeight="true" outlineLevel="0" collapsed="false">
      <c r="A7" s="10" t="n">
        <v>2</v>
      </c>
      <c r="B7" s="11" t="s">
        <v>30</v>
      </c>
      <c r="C7" s="12" t="n">
        <v>5</v>
      </c>
      <c r="D7" s="13"/>
      <c r="E7" s="13"/>
      <c r="F7" s="13"/>
      <c r="G7" s="13"/>
      <c r="H7" s="14" t="s">
        <v>31</v>
      </c>
    </row>
    <row r="8" customFormat="false" ht="19.5" hidden="false" customHeight="true" outlineLevel="0" collapsed="false">
      <c r="A8" s="10" t="n">
        <v>3</v>
      </c>
      <c r="B8" s="11" t="s">
        <v>32</v>
      </c>
      <c r="C8" s="12" t="n">
        <v>15</v>
      </c>
      <c r="D8" s="13"/>
      <c r="E8" s="13"/>
      <c r="F8" s="13"/>
      <c r="G8" s="13"/>
      <c r="H8" s="14" t="s">
        <v>33</v>
      </c>
    </row>
    <row r="9" customFormat="false" ht="19.5" hidden="false" customHeight="true" outlineLevel="0" collapsed="false">
      <c r="A9" s="10" t="n">
        <v>4</v>
      </c>
      <c r="B9" s="11" t="s">
        <v>34</v>
      </c>
      <c r="C9" s="12" t="n">
        <v>5</v>
      </c>
      <c r="D9" s="13"/>
      <c r="E9" s="13"/>
      <c r="F9" s="13"/>
      <c r="G9" s="13"/>
      <c r="H9" s="14" t="s">
        <v>35</v>
      </c>
    </row>
    <row r="10" customFormat="false" ht="19.5" hidden="false" customHeight="true" outlineLevel="0" collapsed="false">
      <c r="A10" s="10" t="n">
        <v>5</v>
      </c>
      <c r="B10" s="11" t="s">
        <v>36</v>
      </c>
      <c r="C10" s="12" t="n">
        <v>3</v>
      </c>
      <c r="D10" s="13"/>
      <c r="E10" s="13"/>
      <c r="F10" s="13"/>
      <c r="G10" s="13"/>
      <c r="H10" s="14" t="s">
        <v>37</v>
      </c>
    </row>
    <row r="11" customFormat="false" ht="7.5" hidden="false" customHeight="true" outlineLevel="0" collapsed="false"/>
    <row r="12" customFormat="false" ht="21.75" hidden="false" customHeight="true" outlineLevel="0" collapsed="false">
      <c r="A12" s="8" t="s">
        <v>38</v>
      </c>
      <c r="B12" s="8"/>
      <c r="C12" s="8"/>
      <c r="D12" s="8"/>
      <c r="E12" s="8"/>
      <c r="F12" s="8"/>
      <c r="G12" s="8"/>
      <c r="H12" s="8"/>
    </row>
    <row r="13" customFormat="false" ht="27.75" hidden="false" customHeight="true" outlineLevel="0" collapsed="false">
      <c r="A13" s="15" t="s">
        <v>39</v>
      </c>
      <c r="B13" s="15" t="s">
        <v>40</v>
      </c>
      <c r="C13" s="15" t="s">
        <v>41</v>
      </c>
      <c r="D13" s="15" t="s">
        <v>42</v>
      </c>
      <c r="E13" s="15" t="s">
        <v>43</v>
      </c>
      <c r="F13" s="15" t="s">
        <v>26</v>
      </c>
      <c r="G13" s="15" t="s">
        <v>44</v>
      </c>
      <c r="H13" s="15" t="s">
        <v>45</v>
      </c>
    </row>
    <row r="14" customFormat="false" ht="19.5" hidden="false" customHeight="true" outlineLevel="0" collapsed="false">
      <c r="A14" s="16" t="n">
        <v>1</v>
      </c>
      <c r="B14" s="17" t="s">
        <v>46</v>
      </c>
      <c r="C14" s="18" t="n">
        <v>3600000</v>
      </c>
      <c r="D14" s="19" t="n">
        <v>2022</v>
      </c>
      <c r="E14" s="20" t="n">
        <f aca="false">2026-D14</f>
        <v>4</v>
      </c>
      <c r="F14" s="21" t="n">
        <f aca="false">C6</f>
        <v>10</v>
      </c>
      <c r="G14" s="22" t="n">
        <f aca="false">MAX(0,C14*(1-E14/F14))</f>
        <v>2160000</v>
      </c>
      <c r="H14" s="23" t="s">
        <v>47</v>
      </c>
    </row>
    <row r="15" customFormat="false" ht="19.5" hidden="false" customHeight="true" outlineLevel="0" collapsed="false">
      <c r="A15" s="24" t="n">
        <v>2</v>
      </c>
      <c r="B15" s="25" t="s">
        <v>48</v>
      </c>
      <c r="C15" s="26" t="n">
        <v>2599000</v>
      </c>
      <c r="D15" s="27" t="n">
        <v>2022</v>
      </c>
      <c r="E15" s="28" t="n">
        <f aca="false">2026-D15</f>
        <v>4</v>
      </c>
      <c r="F15" s="29" t="n">
        <f aca="false">C8</f>
        <v>15</v>
      </c>
      <c r="G15" s="30" t="n">
        <f aca="false">MAX(0,C15*(1-E15/F15))</f>
        <v>1905933.33333333</v>
      </c>
      <c r="H15" s="31" t="s">
        <v>49</v>
      </c>
    </row>
    <row r="16" customFormat="false" ht="19.5" hidden="false" customHeight="true" outlineLevel="0" collapsed="false">
      <c r="A16" s="16" t="n">
        <v>3</v>
      </c>
      <c r="B16" s="17" t="s">
        <v>50</v>
      </c>
      <c r="C16" s="18" t="n">
        <v>1399000</v>
      </c>
      <c r="D16" s="19" t="n">
        <v>2022</v>
      </c>
      <c r="E16" s="20" t="n">
        <f aca="false">2026-D16</f>
        <v>4</v>
      </c>
      <c r="F16" s="21" t="n">
        <f aca="false">C8</f>
        <v>15</v>
      </c>
      <c r="G16" s="22" t="n">
        <f aca="false">MAX(0,C16*(1-E16/F16))</f>
        <v>1025933.33333333</v>
      </c>
      <c r="H16" s="23" t="s">
        <v>49</v>
      </c>
    </row>
    <row r="17" customFormat="false" ht="19.5" hidden="false" customHeight="true" outlineLevel="0" collapsed="false">
      <c r="A17" s="24" t="n">
        <v>4</v>
      </c>
      <c r="B17" s="25" t="s">
        <v>51</v>
      </c>
      <c r="C17" s="26" t="n">
        <v>299000</v>
      </c>
      <c r="D17" s="27" t="n">
        <v>2025</v>
      </c>
      <c r="E17" s="28" t="n">
        <f aca="false">2026-D17</f>
        <v>1</v>
      </c>
      <c r="F17" s="29" t="n">
        <f aca="false">C10</f>
        <v>3</v>
      </c>
      <c r="G17" s="30" t="n">
        <f aca="false">MAX(0,C17*(1-E17/F17))</f>
        <v>199333.333333333</v>
      </c>
      <c r="H17" s="31" t="s">
        <v>52</v>
      </c>
    </row>
    <row r="18" customFormat="false" ht="19.5" hidden="false" customHeight="true" outlineLevel="0" collapsed="false">
      <c r="A18" s="16" t="n">
        <v>5</v>
      </c>
      <c r="B18" s="17" t="s">
        <v>53</v>
      </c>
      <c r="C18" s="18" t="n">
        <v>2600000</v>
      </c>
      <c r="D18" s="19" t="n">
        <v>2023</v>
      </c>
      <c r="E18" s="20" t="n">
        <f aca="false">2026-D18</f>
        <v>3</v>
      </c>
      <c r="F18" s="21" t="n">
        <f aca="false">C7</f>
        <v>5</v>
      </c>
      <c r="G18" s="22" t="n">
        <f aca="false">MAX(0,C18*(1-E18/F18))</f>
        <v>1040000</v>
      </c>
      <c r="H18" s="23" t="s">
        <v>54</v>
      </c>
    </row>
    <row r="19" customFormat="false" ht="19.5" hidden="false" customHeight="true" outlineLevel="0" collapsed="false">
      <c r="A19" s="24" t="n">
        <v>6</v>
      </c>
      <c r="B19" s="25" t="s">
        <v>55</v>
      </c>
      <c r="C19" s="26" t="n">
        <v>215900</v>
      </c>
      <c r="D19" s="27" t="n">
        <v>2025</v>
      </c>
      <c r="E19" s="28" t="n">
        <f aca="false">2026-D19</f>
        <v>1</v>
      </c>
      <c r="F19" s="29" t="n">
        <f aca="false">C7</f>
        <v>5</v>
      </c>
      <c r="G19" s="30" t="n">
        <f aca="false">MAX(0,C19*(1-E19/F19))</f>
        <v>172720</v>
      </c>
      <c r="H19" s="31" t="s">
        <v>54</v>
      </c>
    </row>
    <row r="20" customFormat="false" ht="19.5" hidden="false" customHeight="true" outlineLevel="0" collapsed="false">
      <c r="A20" s="16" t="n">
        <v>7</v>
      </c>
      <c r="B20" s="17" t="s">
        <v>56</v>
      </c>
      <c r="C20" s="18" t="n">
        <v>135000</v>
      </c>
      <c r="D20" s="19" t="n">
        <v>2024</v>
      </c>
      <c r="E20" s="20" t="n">
        <f aca="false">2026-D20</f>
        <v>2</v>
      </c>
      <c r="F20" s="21" t="n">
        <f aca="false">C8</f>
        <v>15</v>
      </c>
      <c r="G20" s="22" t="n">
        <f aca="false">MAX(0,C20*(1-E20/F20))</f>
        <v>117000</v>
      </c>
      <c r="H20" s="23" t="s">
        <v>49</v>
      </c>
    </row>
    <row r="21" customFormat="false" ht="19.5" hidden="false" customHeight="true" outlineLevel="0" collapsed="false">
      <c r="A21" s="24" t="n">
        <v>8</v>
      </c>
      <c r="B21" s="25" t="s">
        <v>57</v>
      </c>
      <c r="C21" s="26" t="n">
        <v>160000</v>
      </c>
      <c r="D21" s="27" t="n">
        <v>2022</v>
      </c>
      <c r="E21" s="28" t="n">
        <f aca="false">2026-D21</f>
        <v>4</v>
      </c>
      <c r="F21" s="29" t="n">
        <f aca="false">C7</f>
        <v>5</v>
      </c>
      <c r="G21" s="30" t="n">
        <f aca="false">MAX(0,C21*(1-E21/F21))</f>
        <v>32000</v>
      </c>
      <c r="H21" s="31" t="s">
        <v>54</v>
      </c>
    </row>
    <row r="22" customFormat="false" ht="19.5" hidden="false" customHeight="true" outlineLevel="0" collapsed="false">
      <c r="A22" s="16" t="n">
        <v>9</v>
      </c>
      <c r="B22" s="17" t="s">
        <v>58</v>
      </c>
      <c r="C22" s="18" t="n">
        <v>1050000</v>
      </c>
      <c r="D22" s="19" t="n">
        <v>2023</v>
      </c>
      <c r="E22" s="20" t="n">
        <f aca="false">2026-D22</f>
        <v>3</v>
      </c>
      <c r="F22" s="21" t="n">
        <f aca="false">C6</f>
        <v>10</v>
      </c>
      <c r="G22" s="22" t="n">
        <f aca="false">MAX(0,C22*(1-E22/F22))</f>
        <v>735000</v>
      </c>
      <c r="H22" s="23" t="s">
        <v>47</v>
      </c>
    </row>
    <row r="23" customFormat="false" ht="19.5" hidden="false" customHeight="true" outlineLevel="0" collapsed="false">
      <c r="A23" s="24" t="n">
        <v>10</v>
      </c>
      <c r="B23" s="25" t="s">
        <v>59</v>
      </c>
      <c r="C23" s="26" t="n">
        <v>671400</v>
      </c>
      <c r="D23" s="27" t="n">
        <v>2024</v>
      </c>
      <c r="E23" s="28" t="n">
        <f aca="false">2026-D23</f>
        <v>2</v>
      </c>
      <c r="F23" s="29" t="n">
        <f aca="false">C6</f>
        <v>10</v>
      </c>
      <c r="G23" s="30" t="n">
        <f aca="false">MAX(0,C23*(1-E23/F23))</f>
        <v>537120</v>
      </c>
      <c r="H23" s="31" t="s">
        <v>47</v>
      </c>
    </row>
    <row r="24" customFormat="false" ht="19.5" hidden="false" customHeight="true" outlineLevel="0" collapsed="false">
      <c r="A24" s="16" t="n">
        <v>11</v>
      </c>
      <c r="B24" s="17" t="s">
        <v>60</v>
      </c>
      <c r="C24" s="18" t="n">
        <v>4150000</v>
      </c>
      <c r="D24" s="19" t="n">
        <v>2025</v>
      </c>
      <c r="E24" s="20" t="n">
        <f aca="false">2026-D24</f>
        <v>1</v>
      </c>
      <c r="F24" s="21" t="n">
        <f aca="false">C9</f>
        <v>5</v>
      </c>
      <c r="G24" s="22" t="n">
        <f aca="false">MAX(0,C24*(1-E24/F24))</f>
        <v>3320000</v>
      </c>
      <c r="H24" s="23" t="s">
        <v>61</v>
      </c>
    </row>
    <row r="25" customFormat="false" ht="19.5" hidden="false" customHeight="true" outlineLevel="0" collapsed="false">
      <c r="A25" s="24" t="n">
        <v>12</v>
      </c>
      <c r="B25" s="25" t="s">
        <v>62</v>
      </c>
      <c r="C25" s="26" t="n">
        <v>75050</v>
      </c>
      <c r="D25" s="27" t="n">
        <v>2024</v>
      </c>
      <c r="E25" s="28" t="n">
        <f aca="false">2026-D25</f>
        <v>2</v>
      </c>
      <c r="F25" s="29" t="n">
        <f aca="false">C7</f>
        <v>5</v>
      </c>
      <c r="G25" s="30" t="n">
        <f aca="false">MAX(0,C25*(1-E25/F25))</f>
        <v>45030</v>
      </c>
      <c r="H25" s="31" t="s">
        <v>54</v>
      </c>
    </row>
    <row r="26" customFormat="false" ht="19.5" hidden="false" customHeight="true" outlineLevel="0" collapsed="false">
      <c r="A26" s="16" t="n">
        <v>13</v>
      </c>
      <c r="B26" s="17" t="s">
        <v>63</v>
      </c>
      <c r="C26" s="18" t="n">
        <v>309000</v>
      </c>
      <c r="D26" s="19" t="n">
        <v>2026</v>
      </c>
      <c r="E26" s="20" t="n">
        <f aca="false">2026-D26</f>
        <v>0</v>
      </c>
      <c r="F26" s="21" t="n">
        <f aca="false">C10</f>
        <v>3</v>
      </c>
      <c r="G26" s="22" t="n">
        <f aca="false">MAX(0,C26*(1-E26/F26))</f>
        <v>309000</v>
      </c>
      <c r="H26" s="23" t="s">
        <v>52</v>
      </c>
    </row>
    <row r="27" customFormat="false" ht="19.5" hidden="false" customHeight="true" outlineLevel="0" collapsed="false">
      <c r="A27" s="24" t="n">
        <v>14</v>
      </c>
      <c r="B27" s="25" t="s">
        <v>64</v>
      </c>
      <c r="C27" s="26" t="n">
        <v>54000</v>
      </c>
      <c r="D27" s="27" t="n">
        <v>2025</v>
      </c>
      <c r="E27" s="28" t="n">
        <f aca="false">2026-D27</f>
        <v>1</v>
      </c>
      <c r="F27" s="29" t="n">
        <f aca="false">C10</f>
        <v>3</v>
      </c>
      <c r="G27" s="30" t="n">
        <f aca="false">MAX(0,C27*(1-E27/F27))</f>
        <v>36000</v>
      </c>
      <c r="H27" s="31" t="s">
        <v>52</v>
      </c>
    </row>
    <row r="28" customFormat="false" ht="19.5" hidden="false" customHeight="true" outlineLevel="0" collapsed="false">
      <c r="A28" s="16" t="n">
        <v>15</v>
      </c>
      <c r="B28" s="17" t="s">
        <v>65</v>
      </c>
      <c r="C28" s="18" t="n">
        <v>100000</v>
      </c>
      <c r="D28" s="19" t="n">
        <v>2020</v>
      </c>
      <c r="E28" s="20" t="n">
        <f aca="false">2026-D28</f>
        <v>6</v>
      </c>
      <c r="F28" s="21" t="n">
        <f aca="false">C8</f>
        <v>15</v>
      </c>
      <c r="G28" s="22" t="n">
        <f aca="false">MAX(0,C28*(1-E28/F28))</f>
        <v>60000</v>
      </c>
      <c r="H28" s="23" t="s">
        <v>49</v>
      </c>
    </row>
    <row r="29" customFormat="false" ht="19.5" hidden="false" customHeight="true" outlineLevel="0" collapsed="false">
      <c r="A29" s="24" t="n">
        <v>16</v>
      </c>
      <c r="B29" s="25" t="s">
        <v>66</v>
      </c>
      <c r="C29" s="26" t="n">
        <v>1360000</v>
      </c>
      <c r="D29" s="27" t="n">
        <v>2017</v>
      </c>
      <c r="E29" s="28" t="n">
        <f aca="false">2026-D29</f>
        <v>9</v>
      </c>
      <c r="F29" s="29" t="n">
        <f aca="false">C6</f>
        <v>10</v>
      </c>
      <c r="G29" s="30" t="n">
        <f aca="false">MAX(0,C29*(1-E29/F29))</f>
        <v>136000</v>
      </c>
      <c r="H29" s="31" t="s">
        <v>47</v>
      </c>
    </row>
    <row r="30" customFormat="false" ht="19.5" hidden="false" customHeight="true" outlineLevel="0" collapsed="false">
      <c r="A30" s="16" t="n">
        <v>17</v>
      </c>
      <c r="B30" s="17" t="s">
        <v>67</v>
      </c>
      <c r="C30" s="18" t="n">
        <v>800000</v>
      </c>
      <c r="D30" s="19" t="n">
        <v>2026</v>
      </c>
      <c r="E30" s="20" t="n">
        <f aca="false">2026-D30</f>
        <v>0</v>
      </c>
      <c r="F30" s="21" t="n">
        <f aca="false">C10</f>
        <v>3</v>
      </c>
      <c r="G30" s="22" t="n">
        <f aca="false">MAX(0,C30*(1-E30/F30))</f>
        <v>800000</v>
      </c>
      <c r="H30" s="23" t="s">
        <v>52</v>
      </c>
    </row>
    <row r="31" customFormat="false" ht="30" hidden="false" customHeight="true" outlineLevel="0" collapsed="false">
      <c r="A31" s="32" t="s">
        <v>68</v>
      </c>
      <c r="B31" s="32"/>
      <c r="C31" s="33" t="n">
        <f aca="false">SUM(C14:C30)</f>
        <v>19577350</v>
      </c>
      <c r="D31" s="34"/>
      <c r="E31" s="34"/>
      <c r="F31" s="34"/>
      <c r="G31" s="35" t="n">
        <f aca="false">SUM(G14:G30)</f>
        <v>12631070</v>
      </c>
      <c r="H31" s="34"/>
    </row>
    <row r="32" customFormat="false" ht="7.5" hidden="false" customHeight="true" outlineLevel="0" collapsed="false"/>
    <row r="33" customFormat="false" ht="36" hidden="false" customHeight="true" outlineLevel="0" collapsed="false">
      <c r="A33" s="36" t="s">
        <v>69</v>
      </c>
      <c r="B33" s="36"/>
      <c r="C33" s="36"/>
      <c r="D33" s="36"/>
      <c r="E33" s="36"/>
      <c r="F33" s="36"/>
      <c r="G33" s="36"/>
      <c r="H33" s="36"/>
    </row>
  </sheetData>
  <mergeCells count="6">
    <mergeCell ref="A1:H1"/>
    <mergeCell ref="A2:H2"/>
    <mergeCell ref="A4:H4"/>
    <mergeCell ref="A12:H12"/>
    <mergeCell ref="A31:B31"/>
    <mergeCell ref="A33:H33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&amp;L&amp;8 GGAC — Modal Investasi&amp;C&amp;"Calibri,Bold"&amp;9 Modal Pengelola&amp;R&amp;8 &amp;D</oddHeader>
    <oddFooter>&amp;L&amp;7 Rahasia — Hanya untuk keperluan internal&amp;C&amp;9 Halaman &amp;P dari &amp;N&amp;R&amp;7 GGAC ROI Calculator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8359375" defaultRowHeight="15" zeroHeight="false" outlineLevelRow="0" outlineLevelCol="0"/>
  <cols>
    <col collapsed="false" customWidth="true" hidden="false" outlineLevel="0" max="1" min="1" style="5" width="28.31"/>
    <col collapsed="false" customWidth="true" hidden="false" outlineLevel="0" max="2" min="2" style="5" width="34"/>
    <col collapsed="false" customWidth="true" hidden="false" outlineLevel="0" max="3" min="3" style="5" width="10.16"/>
    <col collapsed="false" customWidth="true" hidden="false" outlineLevel="0" max="4" min="4" style="5" width="15.19"/>
    <col collapsed="false" customWidth="true" hidden="false" outlineLevel="0" max="5" min="5" style="5" width="20.71"/>
    <col collapsed="false" customWidth="true" hidden="false" outlineLevel="0" max="6" min="6" style="5" width="26"/>
    <col collapsed="false" customWidth="true" hidden="false" outlineLevel="0" max="7" min="7" style="5" width="5"/>
  </cols>
  <sheetData>
    <row r="1" customFormat="false" ht="36" hidden="false" customHeight="true" outlineLevel="0" collapsed="false">
      <c r="A1" s="37" t="s">
        <v>70</v>
      </c>
      <c r="B1" s="37"/>
      <c r="C1" s="37"/>
      <c r="D1" s="37"/>
      <c r="E1" s="37"/>
      <c r="F1" s="37"/>
    </row>
    <row r="2" customFormat="false" ht="15.75" hidden="false" customHeight="true" outlineLevel="0" collapsed="false">
      <c r="A2" s="38" t="s">
        <v>71</v>
      </c>
      <c r="B2" s="38"/>
      <c r="C2" s="38"/>
      <c r="D2" s="38"/>
      <c r="E2" s="38"/>
      <c r="F2" s="38"/>
    </row>
    <row r="3" customFormat="false" ht="7.5" hidden="false" customHeight="true" outlineLevel="0" collapsed="false"/>
    <row r="4" customFormat="false" ht="21.75" hidden="false" customHeight="true" outlineLevel="0" collapsed="false">
      <c r="A4" s="8" t="s">
        <v>72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15" t="s">
        <v>39</v>
      </c>
      <c r="B5" s="15" t="s">
        <v>73</v>
      </c>
      <c r="C5" s="15" t="s">
        <v>74</v>
      </c>
      <c r="D5" s="15" t="s">
        <v>75</v>
      </c>
      <c r="E5" s="15" t="s">
        <v>76</v>
      </c>
      <c r="F5" s="15" t="s">
        <v>27</v>
      </c>
    </row>
    <row r="6" customFormat="false" ht="19.5" hidden="false" customHeight="true" outlineLevel="0" collapsed="false">
      <c r="A6" s="39" t="n">
        <v>1</v>
      </c>
      <c r="B6" s="40" t="s">
        <v>77</v>
      </c>
      <c r="C6" s="41" t="n">
        <v>1</v>
      </c>
      <c r="D6" s="42" t="n">
        <v>23000000</v>
      </c>
      <c r="E6" s="43" t="n">
        <f aca="false">C6*D6</f>
        <v>23000000</v>
      </c>
      <c r="F6" s="14" t="s">
        <v>78</v>
      </c>
    </row>
    <row r="7" customFormat="false" ht="19.5" hidden="false" customHeight="true" outlineLevel="0" collapsed="false">
      <c r="A7" s="39" t="n">
        <v>2</v>
      </c>
      <c r="B7" s="40" t="s">
        <v>79</v>
      </c>
      <c r="C7" s="41" t="n">
        <v>1</v>
      </c>
      <c r="D7" s="42" t="n">
        <v>8160000</v>
      </c>
      <c r="E7" s="43" t="n">
        <f aca="false">C7*D7</f>
        <v>8160000</v>
      </c>
      <c r="F7" s="14" t="s">
        <v>80</v>
      </c>
    </row>
    <row r="8" customFormat="false" ht="19.5" hidden="false" customHeight="true" outlineLevel="0" collapsed="false">
      <c r="A8" s="39" t="n">
        <v>3</v>
      </c>
      <c r="B8" s="40" t="s">
        <v>81</v>
      </c>
      <c r="C8" s="44" t="n">
        <v>1</v>
      </c>
      <c r="D8" s="42" t="n">
        <v>3000000</v>
      </c>
      <c r="E8" s="43" t="n">
        <f aca="false">C8*D8</f>
        <v>3000000</v>
      </c>
      <c r="F8" s="14" t="s">
        <v>82</v>
      </c>
    </row>
    <row r="9" customFormat="false" ht="19.5" hidden="false" customHeight="true" outlineLevel="0" collapsed="false">
      <c r="A9" s="39" t="n">
        <v>4</v>
      </c>
      <c r="B9" s="40" t="s">
        <v>83</v>
      </c>
      <c r="C9" s="44" t="n">
        <v>4</v>
      </c>
      <c r="D9" s="42" t="n">
        <v>2700000</v>
      </c>
      <c r="E9" s="43" t="n">
        <f aca="false">C9*D9</f>
        <v>10800000</v>
      </c>
      <c r="F9" s="14" t="s">
        <v>84</v>
      </c>
    </row>
    <row r="10" customFormat="false" ht="24" hidden="false" customHeight="true" outlineLevel="0" collapsed="false">
      <c r="A10" s="45" t="s">
        <v>85</v>
      </c>
      <c r="B10" s="45"/>
      <c r="C10" s="45"/>
      <c r="D10" s="45"/>
      <c r="E10" s="46" t="n">
        <f aca="false">SUM(E6:E9)</f>
        <v>44960000</v>
      </c>
      <c r="F10" s="34"/>
    </row>
    <row r="11" customFormat="false" ht="7.5" hidden="false" customHeight="true" outlineLevel="0" collapsed="false"/>
    <row r="12" customFormat="false" ht="21.75" hidden="false" customHeight="true" outlineLevel="0" collapsed="false">
      <c r="A12" s="47" t="s">
        <v>86</v>
      </c>
      <c r="B12" s="47"/>
      <c r="C12" s="47"/>
      <c r="D12" s="47"/>
      <c r="E12" s="47"/>
      <c r="F12" s="47"/>
    </row>
    <row r="13" customFormat="false" ht="24" hidden="false" customHeight="true" outlineLevel="0" collapsed="false">
      <c r="A13" s="48" t="s">
        <v>39</v>
      </c>
      <c r="B13" s="48" t="s">
        <v>73</v>
      </c>
      <c r="C13" s="48" t="s">
        <v>74</v>
      </c>
      <c r="D13" s="48" t="s">
        <v>75</v>
      </c>
      <c r="E13" s="48" t="s">
        <v>76</v>
      </c>
      <c r="F13" s="48" t="s">
        <v>27</v>
      </c>
    </row>
    <row r="14" customFormat="false" ht="19.5" hidden="false" customHeight="true" outlineLevel="0" collapsed="false">
      <c r="A14" s="39" t="n">
        <v>1</v>
      </c>
      <c r="B14" s="40" t="s">
        <v>87</v>
      </c>
      <c r="C14" s="44" t="n">
        <v>1</v>
      </c>
      <c r="D14" s="42" t="n">
        <v>1500000</v>
      </c>
      <c r="E14" s="43" t="n">
        <f aca="false">C14*D14</f>
        <v>1500000</v>
      </c>
      <c r="F14" s="14" t="s">
        <v>88</v>
      </c>
    </row>
    <row r="15" customFormat="false" ht="19.5" hidden="false" customHeight="true" outlineLevel="0" collapsed="false">
      <c r="A15" s="39" t="n">
        <v>2</v>
      </c>
      <c r="B15" s="40" t="s">
        <v>89</v>
      </c>
      <c r="C15" s="41" t="n">
        <v>6</v>
      </c>
      <c r="D15" s="42" t="n">
        <v>825000</v>
      </c>
      <c r="E15" s="43" t="n">
        <f aca="false">C15*D15</f>
        <v>4950000</v>
      </c>
      <c r="F15" s="14" t="s">
        <v>90</v>
      </c>
    </row>
    <row r="16" customFormat="false" ht="19.5" hidden="false" customHeight="true" outlineLevel="0" collapsed="false">
      <c r="A16" s="39" t="n">
        <v>3</v>
      </c>
      <c r="B16" s="40" t="s">
        <v>91</v>
      </c>
      <c r="C16" s="41" t="n">
        <v>6</v>
      </c>
      <c r="D16" s="42" t="n">
        <v>335000</v>
      </c>
      <c r="E16" s="43" t="n">
        <f aca="false">C16*D16</f>
        <v>2010000</v>
      </c>
      <c r="F16" s="14" t="s">
        <v>90</v>
      </c>
    </row>
    <row r="17" customFormat="false" ht="19.5" hidden="false" customHeight="true" outlineLevel="0" collapsed="false">
      <c r="A17" s="39" t="n">
        <v>4</v>
      </c>
      <c r="B17" s="40" t="s">
        <v>92</v>
      </c>
      <c r="C17" s="44" t="n">
        <v>4</v>
      </c>
      <c r="D17" s="42" t="n">
        <v>500000</v>
      </c>
      <c r="E17" s="43" t="n">
        <f aca="false">C17*D17</f>
        <v>2000000</v>
      </c>
      <c r="F17" s="14" t="s">
        <v>93</v>
      </c>
    </row>
    <row r="18" customFormat="false" ht="19.5" hidden="false" customHeight="true" outlineLevel="0" collapsed="false">
      <c r="A18" s="39" t="n">
        <v>5</v>
      </c>
      <c r="B18" s="40" t="s">
        <v>83</v>
      </c>
      <c r="C18" s="44" t="n">
        <v>4</v>
      </c>
      <c r="D18" s="42" t="n">
        <v>2700000</v>
      </c>
      <c r="E18" s="43" t="n">
        <f aca="false">C18*D18</f>
        <v>10800000</v>
      </c>
      <c r="F18" s="14" t="s">
        <v>84</v>
      </c>
    </row>
    <row r="19" customFormat="false" ht="24" hidden="false" customHeight="true" outlineLevel="0" collapsed="false">
      <c r="A19" s="49" t="s">
        <v>94</v>
      </c>
      <c r="B19" s="49"/>
      <c r="C19" s="49"/>
      <c r="D19" s="49"/>
      <c r="E19" s="50" t="n">
        <f aca="false">SUM(E14:E17)</f>
        <v>10460000</v>
      </c>
      <c r="F19" s="51"/>
    </row>
    <row r="20" customFormat="false" ht="7.5" hidden="false" customHeight="true" outlineLevel="0" collapsed="false"/>
    <row r="21" customFormat="false" ht="21.75" hidden="false" customHeight="true" outlineLevel="0" collapsed="false">
      <c r="A21" s="52" t="s">
        <v>95</v>
      </c>
      <c r="B21" s="52"/>
      <c r="C21" s="52"/>
      <c r="D21" s="52"/>
      <c r="E21" s="52"/>
      <c r="F21" s="52"/>
    </row>
    <row r="22" customFormat="false" ht="24" hidden="false" customHeight="true" outlineLevel="0" collapsed="false">
      <c r="A22" s="53" t="s">
        <v>39</v>
      </c>
      <c r="B22" s="53" t="s">
        <v>96</v>
      </c>
      <c r="C22" s="53" t="s">
        <v>74</v>
      </c>
      <c r="D22" s="53" t="s">
        <v>97</v>
      </c>
      <c r="E22" s="53" t="s">
        <v>76</v>
      </c>
      <c r="F22" s="53" t="s">
        <v>27</v>
      </c>
    </row>
    <row r="23" customFormat="false" ht="19.5" hidden="false" customHeight="true" outlineLevel="0" collapsed="false">
      <c r="A23" s="39" t="n">
        <v>1</v>
      </c>
      <c r="B23" s="40" t="s">
        <v>98</v>
      </c>
      <c r="C23" s="41" t="n">
        <v>6</v>
      </c>
      <c r="D23" s="42" t="n">
        <v>300000</v>
      </c>
      <c r="E23" s="43" t="n">
        <f aca="false">C23*D23</f>
        <v>1800000</v>
      </c>
      <c r="F23" s="14" t="s">
        <v>99</v>
      </c>
    </row>
    <row r="24" customFormat="false" ht="19.5" hidden="false" customHeight="true" outlineLevel="0" collapsed="false">
      <c r="A24" s="39" t="n">
        <v>2</v>
      </c>
      <c r="B24" s="40" t="s">
        <v>100</v>
      </c>
      <c r="C24" s="41" t="n">
        <v>1</v>
      </c>
      <c r="D24" s="42" t="n">
        <v>1500000</v>
      </c>
      <c r="E24" s="43" t="n">
        <f aca="false">C24*D24</f>
        <v>1500000</v>
      </c>
      <c r="F24" s="14" t="s">
        <v>101</v>
      </c>
    </row>
    <row r="25" customFormat="false" ht="19.5" hidden="false" customHeight="true" outlineLevel="0" collapsed="false">
      <c r="A25" s="39" t="n">
        <v>3</v>
      </c>
      <c r="B25" s="40" t="s">
        <v>102</v>
      </c>
      <c r="C25" s="41" t="n">
        <v>1</v>
      </c>
      <c r="D25" s="42" t="n">
        <v>2000000</v>
      </c>
      <c r="E25" s="43" t="n">
        <f aca="false">C25*D25</f>
        <v>2000000</v>
      </c>
      <c r="F25" s="14" t="s">
        <v>103</v>
      </c>
    </row>
    <row r="26" customFormat="false" ht="19.5" hidden="false" customHeight="true" outlineLevel="0" collapsed="false">
      <c r="A26" s="39" t="n">
        <v>4</v>
      </c>
      <c r="B26" s="40" t="s">
        <v>104</v>
      </c>
      <c r="C26" s="41" t="n">
        <v>2</v>
      </c>
      <c r="D26" s="42" t="n">
        <v>4000000</v>
      </c>
      <c r="E26" s="43" t="n">
        <f aca="false">C26*D26</f>
        <v>8000000</v>
      </c>
      <c r="F26" s="14" t="s">
        <v>105</v>
      </c>
    </row>
    <row r="27" customFormat="false" ht="19.5" hidden="false" customHeight="true" outlineLevel="0" collapsed="false">
      <c r="A27" s="39" t="n">
        <v>5</v>
      </c>
      <c r="B27" s="40" t="s">
        <v>106</v>
      </c>
      <c r="C27" s="41" t="n">
        <v>0</v>
      </c>
      <c r="D27" s="42" t="n">
        <v>3000000</v>
      </c>
      <c r="E27" s="43" t="n">
        <f aca="false">C27*D27</f>
        <v>0</v>
      </c>
      <c r="F27" s="14" t="s">
        <v>107</v>
      </c>
    </row>
    <row r="28" customFormat="false" ht="19.5" hidden="false" customHeight="true" outlineLevel="0" collapsed="false">
      <c r="A28" s="39" t="n">
        <v>6</v>
      </c>
      <c r="B28" s="40" t="s">
        <v>108</v>
      </c>
      <c r="C28" s="41" t="n">
        <v>0</v>
      </c>
      <c r="D28" s="42" t="n">
        <v>3000000</v>
      </c>
      <c r="E28" s="43" t="n">
        <f aca="false">C28*D28</f>
        <v>0</v>
      </c>
      <c r="F28" s="14" t="s">
        <v>107</v>
      </c>
    </row>
    <row r="29" customFormat="false" ht="24" hidden="false" customHeight="true" outlineLevel="0" collapsed="false">
      <c r="A29" s="54" t="s">
        <v>109</v>
      </c>
      <c r="B29" s="54"/>
      <c r="C29" s="54"/>
      <c r="D29" s="54"/>
      <c r="E29" s="55" t="n">
        <f aca="false">SUM(E23:E28)</f>
        <v>13300000</v>
      </c>
      <c r="F29" s="56"/>
    </row>
    <row r="30" customFormat="false" ht="9.75" hidden="false" customHeight="true" outlineLevel="0" collapsed="false"/>
    <row r="31" customFormat="false" ht="24" hidden="false" customHeight="true" outlineLevel="0" collapsed="false">
      <c r="A31" s="8" t="s">
        <v>110</v>
      </c>
      <c r="B31" s="8"/>
      <c r="C31" s="8"/>
      <c r="D31" s="8"/>
      <c r="E31" s="8"/>
      <c r="F31" s="8"/>
    </row>
    <row r="32" customFormat="false" ht="27.75" hidden="false" customHeight="true" outlineLevel="0" collapsed="false">
      <c r="A32" s="57" t="s">
        <v>111</v>
      </c>
      <c r="B32" s="15" t="s">
        <v>112</v>
      </c>
      <c r="C32" s="58" t="s">
        <v>113</v>
      </c>
      <c r="D32" s="57" t="s">
        <v>114</v>
      </c>
      <c r="E32" s="57" t="s">
        <v>27</v>
      </c>
    </row>
    <row r="33" customFormat="false" ht="21.75" hidden="false" customHeight="true" outlineLevel="0" collapsed="false">
      <c r="A33" s="11" t="s">
        <v>115</v>
      </c>
      <c r="B33" s="43" t="n">
        <f aca="false">E10</f>
        <v>44960000</v>
      </c>
      <c r="C33" s="43" t="n">
        <f aca="false">E10</f>
        <v>44960000</v>
      </c>
      <c r="D33" s="43" t="n">
        <f aca="false">C33-B33</f>
        <v>0</v>
      </c>
      <c r="E33" s="14" t="s">
        <v>116</v>
      </c>
    </row>
    <row r="34" customFormat="false" ht="21.75" hidden="false" customHeight="true" outlineLevel="0" collapsed="false">
      <c r="A34" s="11" t="s">
        <v>117</v>
      </c>
      <c r="B34" s="43" t="n">
        <f aca="false">0</f>
        <v>0</v>
      </c>
      <c r="C34" s="43" t="n">
        <f aca="false">E19</f>
        <v>10460000</v>
      </c>
      <c r="D34" s="43" t="n">
        <f aca="false">C34-B34</f>
        <v>10460000</v>
      </c>
      <c r="E34" s="14" t="s">
        <v>118</v>
      </c>
    </row>
    <row r="35" customFormat="false" ht="21.75" hidden="false" customHeight="true" outlineLevel="0" collapsed="false">
      <c r="A35" s="11" t="s">
        <v>119</v>
      </c>
      <c r="B35" s="43" t="n">
        <f aca="false">E29</f>
        <v>13300000</v>
      </c>
      <c r="C35" s="43" t="n">
        <f aca="false">E29</f>
        <v>13300000</v>
      </c>
      <c r="D35" s="43" t="n">
        <f aca="false">C35-B35</f>
        <v>0</v>
      </c>
      <c r="E35" s="14" t="s">
        <v>116</v>
      </c>
    </row>
    <row r="36" customFormat="false" ht="21.75" hidden="false" customHeight="true" outlineLevel="0" collapsed="false">
      <c r="A36" s="59" t="s">
        <v>120</v>
      </c>
      <c r="B36" s="60" t="n">
        <f aca="false">B33+B34+B35</f>
        <v>58260000</v>
      </c>
      <c r="C36" s="60" t="n">
        <f aca="false">C33+C34+C35</f>
        <v>68720000</v>
      </c>
      <c r="D36" s="43" t="n">
        <f aca="false">C36-B36</f>
        <v>10460000</v>
      </c>
      <c r="E36" s="14"/>
    </row>
    <row r="37" customFormat="false" ht="21.75" hidden="false" customHeight="true" outlineLevel="0" collapsed="false">
      <c r="A37" s="11" t="s">
        <v>121</v>
      </c>
      <c r="B37" s="43" t="n">
        <f aca="false">B36*E37</f>
        <v>5826000</v>
      </c>
      <c r="C37" s="43" t="n">
        <f aca="false">C36*E37</f>
        <v>6872000</v>
      </c>
      <c r="D37" s="43" t="n">
        <f aca="false">C37-B37</f>
        <v>1046000</v>
      </c>
      <c r="E37" s="61" t="n">
        <v>0.1</v>
      </c>
      <c r="F37" s="62" t="s">
        <v>122</v>
      </c>
    </row>
    <row r="38" customFormat="false" ht="21.75" hidden="false" customHeight="true" outlineLevel="0" collapsed="false">
      <c r="A38" s="63" t="s">
        <v>123</v>
      </c>
      <c r="B38" s="64" t="n">
        <f aca="false">B36+B37</f>
        <v>64086000</v>
      </c>
      <c r="C38" s="64" t="n">
        <f aca="false">C36+C37</f>
        <v>75592000</v>
      </c>
      <c r="D38" s="64" t="n">
        <f aca="false">C38-B38</f>
        <v>11506000</v>
      </c>
      <c r="E38" s="65" t="s">
        <v>124</v>
      </c>
    </row>
    <row r="40" customFormat="false" ht="36" hidden="false" customHeight="true" outlineLevel="0" collapsed="false">
      <c r="A40" s="36" t="s">
        <v>125</v>
      </c>
      <c r="B40" s="36"/>
      <c r="C40" s="36"/>
      <c r="D40" s="36"/>
      <c r="E40" s="36"/>
      <c r="F40" s="36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0">
    <mergeCell ref="A1:F1"/>
    <mergeCell ref="A2:F2"/>
    <mergeCell ref="A4:F4"/>
    <mergeCell ref="A10:D10"/>
    <mergeCell ref="A12:F12"/>
    <mergeCell ref="A19:D19"/>
    <mergeCell ref="A21:F21"/>
    <mergeCell ref="A29:D29"/>
    <mergeCell ref="A31:F31"/>
    <mergeCell ref="A40:F40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GGAC — Modal Investasi&amp;C&amp;"Calibri,Bold"&amp;9 Investasi Investor&amp;R&amp;8 &amp;D</oddHeader>
    <oddFooter>&amp;L&amp;7 Rahasia — Hanya untuk keperluan internal&amp;C&amp;9 Halaman &amp;P dari &amp;N&amp;R&amp;7 GGAC ROI Calculator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8359375" defaultRowHeight="15" zeroHeight="false" outlineLevelRow="0" outlineLevelCol="0"/>
  <cols>
    <col collapsed="false" customWidth="true" hidden="false" outlineLevel="0" max="1" min="1" style="5" width="36"/>
    <col collapsed="false" customWidth="true" hidden="false" outlineLevel="0" max="4" min="2" style="5" width="22"/>
    <col collapsed="false" customWidth="true" hidden="false" outlineLevel="0" max="5" min="5" style="5" width="16"/>
    <col collapsed="false" customWidth="true" hidden="false" outlineLevel="0" max="6" min="6" style="5" width="28"/>
  </cols>
  <sheetData>
    <row r="1" customFormat="false" ht="42" hidden="false" customHeight="true" outlineLevel="0" collapsed="false">
      <c r="A1" s="66" t="s">
        <v>126</v>
      </c>
      <c r="B1" s="66"/>
      <c r="C1" s="66"/>
      <c r="D1" s="66"/>
      <c r="E1" s="66"/>
      <c r="F1" s="66"/>
    </row>
    <row r="2" customFormat="false" ht="18" hidden="false" customHeight="true" outlineLevel="0" collapsed="false">
      <c r="A2" s="7" t="s">
        <v>127</v>
      </c>
      <c r="B2" s="7"/>
      <c r="C2" s="7"/>
      <c r="D2" s="7"/>
      <c r="E2" s="7"/>
      <c r="F2" s="7"/>
    </row>
    <row r="3" customFormat="false" ht="7.5" hidden="false" customHeight="true" outlineLevel="0" collapsed="false"/>
    <row r="4" customFormat="false" ht="36" hidden="false" customHeight="true" outlineLevel="0" collapsed="false">
      <c r="A4" s="57" t="s">
        <v>128</v>
      </c>
      <c r="B4" s="15" t="s">
        <v>129</v>
      </c>
      <c r="C4" s="58" t="s">
        <v>130</v>
      </c>
      <c r="D4" s="53" t="s">
        <v>131</v>
      </c>
      <c r="E4" s="57" t="s">
        <v>132</v>
      </c>
      <c r="F4" s="57" t="s">
        <v>27</v>
      </c>
    </row>
    <row r="5" customFormat="false" ht="21.75" hidden="false" customHeight="true" outlineLevel="0" collapsed="false">
      <c r="A5" s="67" t="s">
        <v>133</v>
      </c>
      <c r="B5" s="68" t="n">
        <f aca="false">'Investasi Investor'!E10</f>
        <v>44960000</v>
      </c>
      <c r="C5" s="68" t="n">
        <f aca="false">'Investasi Investor'!E10</f>
        <v>44960000</v>
      </c>
      <c r="D5" s="69" t="n">
        <v>0</v>
      </c>
      <c r="E5" s="70" t="n">
        <f aca="false">IFERROR((B5+D5)/(B12+D12),"-")</f>
        <v>0.586049493287478</v>
      </c>
      <c r="F5" s="71" t="s">
        <v>134</v>
      </c>
    </row>
    <row r="6" customFormat="false" ht="21.75" hidden="false" customHeight="true" outlineLevel="0" collapsed="false">
      <c r="A6" s="72" t="s">
        <v>135</v>
      </c>
      <c r="B6" s="30" t="n">
        <v>0</v>
      </c>
      <c r="C6" s="73" t="n">
        <f aca="false">'Investasi Investor'!E19</f>
        <v>10460000</v>
      </c>
      <c r="D6" s="30" t="n">
        <v>0</v>
      </c>
      <c r="E6" s="74"/>
      <c r="F6" s="31" t="s">
        <v>136</v>
      </c>
    </row>
    <row r="7" customFormat="false" ht="21.75" hidden="false" customHeight="true" outlineLevel="0" collapsed="false">
      <c r="A7" s="67" t="s">
        <v>119</v>
      </c>
      <c r="B7" s="68" t="n">
        <f aca="false">'Investasi Investor'!E29</f>
        <v>13300000</v>
      </c>
      <c r="C7" s="68" t="n">
        <f aca="false">'Investasi Investor'!E29</f>
        <v>13300000</v>
      </c>
      <c r="D7" s="69" t="n">
        <v>0</v>
      </c>
      <c r="E7" s="70" t="n">
        <f aca="false">IFERROR((B7+D7)/(B12+D12),"-")</f>
        <v>0.17336428515844</v>
      </c>
      <c r="F7" s="71" t="s">
        <v>137</v>
      </c>
    </row>
    <row r="8" customFormat="false" ht="21.75" hidden="false" customHeight="true" outlineLevel="0" collapsed="false">
      <c r="A8" s="72" t="s">
        <v>138</v>
      </c>
      <c r="B8" s="73" t="n">
        <f aca="false">'Investasi Investor'!B37</f>
        <v>5826000</v>
      </c>
      <c r="C8" s="73" t="n">
        <f aca="false">'Investasi Investor'!C37</f>
        <v>6872000</v>
      </c>
      <c r="D8" s="30" t="n">
        <v>0</v>
      </c>
      <c r="E8" s="75" t="n">
        <f aca="false">IFERROR((B8+D8)/(B12+D12),"-")</f>
        <v>0.0759413778445918</v>
      </c>
      <c r="F8" s="76" t="str">
        <f aca="false">TEXT('Investasi Investor'!E37,"0%")&amp;" dari subtotal masing-masing fase"</f>
        <v>10% dari subtotal masing-masing fase</v>
      </c>
    </row>
    <row r="9" customFormat="false" ht="21.75" hidden="false" customHeight="true" outlineLevel="0" collapsed="false">
      <c r="A9" s="67" t="s">
        <v>139</v>
      </c>
      <c r="B9" s="69" t="n">
        <v>0</v>
      </c>
      <c r="C9" s="69" t="n">
        <v>0</v>
      </c>
      <c r="D9" s="68" t="n">
        <f aca="false">'Modal Pengelola'!G31</f>
        <v>12631070</v>
      </c>
      <c r="E9" s="70" t="n">
        <f aca="false">IFERROR((B9+D9)/(B12+D12),"-")</f>
        <v>0.16464484370949</v>
      </c>
      <c r="F9" s="71" t="s">
        <v>140</v>
      </c>
    </row>
    <row r="10" customFormat="false" ht="21.75" hidden="false" customHeight="true" outlineLevel="0" collapsed="false">
      <c r="A10" s="72" t="s">
        <v>141</v>
      </c>
      <c r="B10" s="77" t="s">
        <v>142</v>
      </c>
      <c r="C10" s="77" t="s">
        <v>142</v>
      </c>
      <c r="D10" s="30" t="n">
        <v>0</v>
      </c>
      <c r="E10" s="74"/>
      <c r="F10" s="31" t="s">
        <v>143</v>
      </c>
    </row>
    <row r="11" customFormat="false" ht="21.75" hidden="false" customHeight="true" outlineLevel="0" collapsed="false">
      <c r="A11" s="67" t="s">
        <v>144</v>
      </c>
      <c r="B11" s="69" t="n">
        <v>0</v>
      </c>
      <c r="C11" s="69" t="n">
        <v>0</v>
      </c>
      <c r="D11" s="78" t="s">
        <v>142</v>
      </c>
      <c r="E11" s="79"/>
      <c r="F11" s="71" t="s">
        <v>145</v>
      </c>
    </row>
    <row r="12" customFormat="false" ht="31.5" hidden="false" customHeight="true" outlineLevel="0" collapsed="false">
      <c r="A12" s="80" t="s">
        <v>146</v>
      </c>
      <c r="B12" s="35" t="n">
        <f aca="false">SUMIF(B5:B11,"&gt;0")</f>
        <v>64086000</v>
      </c>
      <c r="C12" s="81" t="n">
        <f aca="false">SUMIF(C5:C11,"&gt;0")</f>
        <v>75592000</v>
      </c>
      <c r="D12" s="82" t="n">
        <f aca="false">SUMIF(D5:D11,"&gt;0")</f>
        <v>12631070</v>
      </c>
      <c r="E12" s="83" t="s">
        <v>147</v>
      </c>
      <c r="F12" s="84"/>
    </row>
    <row r="13" customFormat="false" ht="9.75" hidden="false" customHeight="true" outlineLevel="0" collapsed="false"/>
    <row r="14" customFormat="false" ht="21.75" hidden="false" customHeight="true" outlineLevel="0" collapsed="false">
      <c r="A14" s="32" t="s">
        <v>148</v>
      </c>
      <c r="B14" s="32"/>
      <c r="C14" s="32"/>
      <c r="D14" s="32"/>
      <c r="E14" s="32"/>
      <c r="F14" s="32"/>
    </row>
    <row r="15" customFormat="false" ht="31.5" hidden="false" customHeight="true" outlineLevel="0" collapsed="false">
      <c r="A15" s="15" t="s">
        <v>149</v>
      </c>
      <c r="B15" s="15" t="s">
        <v>150</v>
      </c>
      <c r="C15" s="15" t="s">
        <v>151</v>
      </c>
      <c r="D15" s="15" t="s">
        <v>152</v>
      </c>
      <c r="E15" s="15" t="s">
        <v>153</v>
      </c>
      <c r="F15" s="15" t="s">
        <v>27</v>
      </c>
    </row>
    <row r="16" customFormat="false" ht="27.75" hidden="false" customHeight="true" outlineLevel="0" collapsed="false">
      <c r="A16" s="85" t="s">
        <v>154</v>
      </c>
      <c r="B16" s="86" t="n">
        <v>0.25</v>
      </c>
      <c r="C16" s="87" t="n">
        <f aca="false">B16</f>
        <v>0.25</v>
      </c>
      <c r="D16" s="87" t="n">
        <f aca="false">1-B16</f>
        <v>0.75</v>
      </c>
      <c r="E16" s="88" t="n">
        <f aca="false">B16-B12/(B12+D12)</f>
        <v>-0.58535515629051</v>
      </c>
      <c r="F16" s="89" t="s">
        <v>155</v>
      </c>
    </row>
    <row r="17" customFormat="false" ht="19.5" hidden="false" customHeight="true" outlineLevel="0" collapsed="false">
      <c r="A17" s="90" t="s">
        <v>156</v>
      </c>
      <c r="B17" s="22" t="n">
        <f aca="false">B16*12000000</f>
        <v>3000000</v>
      </c>
      <c r="C17" s="22" t="n">
        <f aca="false">B16*12000000</f>
        <v>3000000</v>
      </c>
      <c r="D17" s="22" t="n">
        <f aca="false">(1-B16)*12000000</f>
        <v>9000000</v>
      </c>
      <c r="E17" s="91"/>
      <c r="F17" s="23" t="s">
        <v>157</v>
      </c>
    </row>
    <row r="18" customFormat="false" ht="21.75" hidden="false" customHeight="true" outlineLevel="0" collapsed="false">
      <c r="A18" s="92" t="s">
        <v>158</v>
      </c>
      <c r="B18" s="93" t="n">
        <f aca="false">IFERROR(B16*12000000*12/B12,"-")</f>
        <v>0.561745154948039</v>
      </c>
      <c r="C18" s="93" t="n">
        <f aca="false">IFERROR(B16*12000000*12/C12,"-")</f>
        <v>0.476240872049952</v>
      </c>
      <c r="D18" s="93" t="n">
        <f aca="false">IFERROR((1-B16)*12000000*12/D12,"-")</f>
        <v>8.55034450763079</v>
      </c>
      <c r="E18" s="94"/>
      <c r="F18" s="95" t="s">
        <v>159</v>
      </c>
    </row>
    <row r="19" customFormat="false" ht="7.5" hidden="false" customHeight="true" outlineLevel="0" collapsed="false"/>
    <row r="20" customFormat="false" ht="21.75" hidden="false" customHeight="true" outlineLevel="0" collapsed="false">
      <c r="A20" s="96" t="s">
        <v>160</v>
      </c>
      <c r="B20" s="96"/>
      <c r="C20" s="96"/>
      <c r="D20" s="96"/>
      <c r="E20" s="96"/>
      <c r="F20" s="96"/>
    </row>
    <row r="21" customFormat="false" ht="21.75" hidden="false" customHeight="true" outlineLevel="0" collapsed="false">
      <c r="A21" s="96"/>
      <c r="B21" s="96"/>
      <c r="C21" s="96"/>
      <c r="D21" s="96"/>
      <c r="E21" s="96"/>
      <c r="F21" s="96"/>
    </row>
    <row r="22" customFormat="false" ht="21.75" hidden="false" customHeight="true" outlineLevel="0" collapsed="false">
      <c r="A22" s="96"/>
      <c r="B22" s="96"/>
      <c r="C22" s="96"/>
      <c r="D22" s="96"/>
      <c r="E22" s="96"/>
      <c r="F22" s="96"/>
    </row>
    <row r="23" customFormat="false" ht="21.75" hidden="false" customHeight="true" outlineLevel="0" collapsed="false">
      <c r="A23" s="96"/>
      <c r="B23" s="96"/>
      <c r="C23" s="96"/>
      <c r="D23" s="96"/>
      <c r="E23" s="96"/>
      <c r="F23" s="96"/>
    </row>
    <row r="24" customFormat="false" ht="7.5" hidden="false" customHeight="true" outlineLevel="0" collapsed="false"/>
    <row r="25" customFormat="false" ht="21.75" hidden="false" customHeight="true" outlineLevel="0" collapsed="false">
      <c r="A25" s="8" t="s">
        <v>161</v>
      </c>
      <c r="B25" s="8"/>
      <c r="C25" s="8"/>
      <c r="D25" s="8"/>
      <c r="E25" s="8"/>
      <c r="F25" s="8"/>
    </row>
    <row r="26" customFormat="false" ht="19.5" hidden="false" customHeight="true" outlineLevel="0" collapsed="false">
      <c r="A26" s="97" t="s">
        <v>162</v>
      </c>
      <c r="B26" s="11" t="s">
        <v>163</v>
      </c>
      <c r="C26" s="13"/>
      <c r="D26" s="13"/>
      <c r="E26" s="13"/>
      <c r="F26" s="13"/>
    </row>
    <row r="27" customFormat="false" ht="19.5" hidden="false" customHeight="true" outlineLevel="0" collapsed="false">
      <c r="A27" s="59" t="s">
        <v>164</v>
      </c>
      <c r="B27" s="11" t="s">
        <v>165</v>
      </c>
      <c r="C27" s="13"/>
      <c r="D27" s="13"/>
      <c r="E27" s="13"/>
      <c r="F27" s="13"/>
    </row>
    <row r="28" customFormat="false" ht="19.5" hidden="false" customHeight="true" outlineLevel="0" collapsed="false">
      <c r="A28" s="98" t="s">
        <v>166</v>
      </c>
      <c r="B28" s="11" t="s">
        <v>167</v>
      </c>
      <c r="C28" s="13"/>
      <c r="D28" s="13"/>
      <c r="E28" s="13"/>
      <c r="F28" s="13"/>
    </row>
    <row r="29" customFormat="false" ht="19.5" hidden="false" customHeight="true" outlineLevel="0" collapsed="false">
      <c r="A29" s="99" t="s">
        <v>168</v>
      </c>
      <c r="B29" s="11" t="s">
        <v>169</v>
      </c>
      <c r="C29" s="13"/>
      <c r="D29" s="13"/>
      <c r="E29" s="13"/>
      <c r="F29" s="13"/>
    </row>
    <row r="30" customFormat="false" ht="19.5" hidden="false" customHeight="true" outlineLevel="0" collapsed="false">
      <c r="A30" s="100" t="s">
        <v>170</v>
      </c>
      <c r="B30" s="11" t="s">
        <v>171</v>
      </c>
      <c r="C30" s="13"/>
      <c r="D30" s="13"/>
      <c r="E30" s="13"/>
      <c r="F30" s="13"/>
    </row>
  </sheetData>
  <mergeCells count="5">
    <mergeCell ref="A1:F1"/>
    <mergeCell ref="A2:F2"/>
    <mergeCell ref="A14:F14"/>
    <mergeCell ref="A20:F23"/>
    <mergeCell ref="A25:F25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GGAC — Modal Investasi&amp;C&amp;"Calibri,Bold"&amp;9 Ringkasan Modal&amp;R&amp;8 &amp;D</oddHeader>
    <oddFooter>&amp;L&amp;7 Rahasia — Hanya untuk keperluan internal&amp;C&amp;9 Halaman &amp;P dari &amp;N&amp;R&amp;7 GGAC ROI Calculator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2026-05-10T18:53:42Z</dcterms:created>
  <dc:creator>openpyxl</dc:creator>
  <dc:description/>
  <dc:language>en-US</dc:language>
  <cp:lastModifiedBy/>
  <dcterms:modified xsi:type="dcterms:W3CDTF">2026-05-11T12:54:32Z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